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bap/Downloads/"/>
    </mc:Choice>
  </mc:AlternateContent>
  <xr:revisionPtr revIDLastSave="0" documentId="13_ncr:1_{1694A71C-1338-2749-8936-D6BAA055D11B}" xr6:coauthVersionLast="47" xr6:coauthVersionMax="47" xr10:uidLastSave="{00000000-0000-0000-0000-000000000000}"/>
  <bookViews>
    <workbookView xWindow="0" yWindow="0" windowWidth="33600" windowHeight="21000" tabRatio="500" xr2:uid="{00000000-000D-0000-FFFF-FFFF00000000}"/>
  </bookViews>
  <sheets>
    <sheet name="Calenda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1" l="1"/>
  <c r="F9" i="1"/>
  <c r="F11" i="1" s="1"/>
  <c r="E16" i="1" s="1"/>
  <c r="F5" i="1"/>
  <c r="F4" i="1"/>
  <c r="F6" i="1" s="1"/>
  <c r="E15" i="1" s="1"/>
  <c r="E17" i="1" s="1"/>
  <c r="E18" i="1" l="1"/>
  <c r="E19" i="1" s="1"/>
</calcChain>
</file>

<file path=xl/sharedStrings.xml><?xml version="1.0" encoding="utf-8"?>
<sst xmlns="http://schemas.openxmlformats.org/spreadsheetml/2006/main" count="31" uniqueCount="31">
  <si>
    <t>Tên nguyên vật liệu</t>
  </si>
  <si>
    <t>Mô tả / Ghi chú</t>
  </si>
  <si>
    <t>ĐVT</t>
  </si>
  <si>
    <t>Định mức</t>
  </si>
  <si>
    <t>Đơn giá (đ)</t>
  </si>
  <si>
    <t>Thành tiền (đ)</t>
  </si>
  <si>
    <t>NHÓM 1 – Nguyên vật liệu &amp; In ấn</t>
  </si>
  <si>
    <t>Giấy C300gsm A4</t>
  </si>
  <si>
    <t>13 tờ/quyển (1 bìa + 12 tháng)</t>
  </si>
  <si>
    <t>tờ/quyển</t>
  </si>
  <si>
    <t>In Konica — 2 mặt/tờ</t>
  </si>
  <si>
    <t>13 tờ × 2 mặt/tờ = 26 click/quyển (700đ/click)</t>
  </si>
  <si>
    <t>click/quyển</t>
  </si>
  <si>
    <t>Tổng NVL Nhóm 1</t>
  </si>
  <si>
    <t>NHÓM 2 – Hoàn thiện</t>
  </si>
  <si>
    <t>Bấm lỗ</t>
  </si>
  <si>
    <t>Gia công bấm lỗ đầu tờ để xỏ lò xo</t>
  </si>
  <si>
    <t>lần/quyển</t>
  </si>
  <si>
    <t>Lò xo đóng quyển</t>
  </si>
  <si>
    <t>1 cái/quyển</t>
  </si>
  <si>
    <t>cái/quyển</t>
  </si>
  <si>
    <t>Tổng NVL Nhóm 2</t>
  </si>
  <si>
    <t>📊  BẢNG TỔNG HỢP — Chi phí cuối / quyển (gồm biến phí SX 20%)</t>
  </si>
  <si>
    <t>Khoản mục</t>
  </si>
  <si>
    <t>Chi phí (đ/quyển)</t>
  </si>
  <si>
    <t>Nhóm 1 – Nguyên vật liệu &amp; In ấn</t>
  </si>
  <si>
    <t>Nhóm 2 – Hoàn thiện</t>
  </si>
  <si>
    <t>Tổng NVL (chưa biến phí)</t>
  </si>
  <si>
    <t xml:space="preserve">  + Biến phí sản xuất (20%)</t>
  </si>
  <si>
    <t>TỔNG CHI PHÍ / QUYỂN (gồm biến phí)</t>
  </si>
  <si>
    <t>BOM Cost — 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</si>
</sst>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9"/>
      <color rgb="FF475569"/>
      <name val="Arial"/>
      <family val="2"/>
    </font>
    <font>
      <b/>
      <sz val="10"/>
      <color rgb="FF1A56DB"/>
      <name val="Arial"/>
      <family val="2"/>
    </font>
    <font>
      <b/>
      <sz val="10"/>
      <color rgb="FF1E3A5F"/>
      <name val="Arial"/>
      <family val="2"/>
    </font>
    <font>
      <i/>
      <sz val="9"/>
      <color rgb="FF94A3B8"/>
      <name val="Arial"/>
      <family val="2"/>
    </font>
    <font>
      <sz val="10"/>
      <color rgb="FF475569"/>
      <name val="Arial"/>
      <family val="2"/>
    </font>
    <font>
      <b/>
      <sz val="10"/>
      <color rgb="FF166534"/>
      <name val="Arial"/>
      <family val="2"/>
    </font>
    <font>
      <b/>
      <sz val="10"/>
      <color rgb="FF14532D"/>
      <name val="Arial"/>
      <family val="2"/>
    </font>
    <font>
      <b/>
      <sz val="11"/>
      <color rgb="FF14532D"/>
      <name val="Arial"/>
      <family val="2"/>
    </font>
    <font>
      <sz val="10"/>
      <color rgb="FF334155"/>
      <name val="Arial"/>
      <family val="2"/>
    </font>
    <font>
      <i/>
      <sz val="9"/>
      <color rgb="FF92400E"/>
      <name val="Arial"/>
      <family val="2"/>
    </font>
    <font>
      <i/>
      <sz val="10"/>
      <color rgb="FF92400E"/>
      <name val="Arial"/>
      <family val="2"/>
    </font>
    <font>
      <b/>
      <sz val="12"/>
      <color rgb="FFFFFFFF"/>
      <name val="Arial"/>
      <family val="2"/>
    </font>
    <font>
      <b/>
      <sz val="13"/>
      <color rgb="FF86EFAC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3A5F"/>
        <bgColor rgb="FF334155"/>
      </patternFill>
    </fill>
    <fill>
      <patternFill patternType="solid">
        <fgColor rgb="FFF8FAFC"/>
        <bgColor rgb="FFFFFFFF"/>
      </patternFill>
    </fill>
    <fill>
      <patternFill patternType="solid">
        <fgColor rgb="FFF1F5F9"/>
        <bgColor rgb="FFEFF6FF"/>
      </patternFill>
    </fill>
    <fill>
      <patternFill patternType="solid">
        <fgColor rgb="FFE8F0FE"/>
        <bgColor rgb="FFEFF6FF"/>
      </patternFill>
    </fill>
    <fill>
      <patternFill patternType="solid">
        <fgColor rgb="FFFFFFFF"/>
        <bgColor rgb="FFF8FAFC"/>
      </patternFill>
    </fill>
    <fill>
      <patternFill patternType="solid">
        <fgColor rgb="FFEFF6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FFFBEB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3" fillId="2" borderId="2" xfId="0" applyFont="1" applyFill="1" applyBorder="1" applyAlignment="1">
      <alignment horizontal="right" vertical="center" indent="1"/>
    </xf>
    <xf numFmtId="3" fontId="12" fillId="9" borderId="2" xfId="0" applyNumberFormat="1" applyFont="1" applyFill="1" applyBorder="1" applyAlignment="1">
      <alignment horizontal="right" vertical="center"/>
    </xf>
    <xf numFmtId="0" fontId="11" fillId="9" borderId="2" xfId="0" applyFont="1" applyFill="1" applyBorder="1" applyAlignment="1">
      <alignment horizontal="right" vertical="center"/>
    </xf>
    <xf numFmtId="3" fontId="9" fillId="8" borderId="2" xfId="0" applyNumberFormat="1" applyFont="1" applyFill="1" applyBorder="1" applyAlignment="1">
      <alignment horizontal="right" vertical="center"/>
    </xf>
    <xf numFmtId="3" fontId="7" fillId="3" borderId="2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center" indent="2"/>
    </xf>
    <xf numFmtId="3" fontId="7" fillId="6" borderId="2" xfId="0" applyNumberFormat="1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left" vertical="center" indent="2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8" fillId="8" borderId="2" xfId="0" applyFont="1" applyFill="1" applyBorder="1" applyAlignment="1">
      <alignment horizontal="right" vertical="center" indent="1"/>
    </xf>
    <xf numFmtId="0" fontId="3" fillId="5" borderId="2" xfId="0" applyFont="1" applyFill="1" applyBorder="1" applyAlignment="1">
      <alignment horizontal="left" vertical="center" indent="2"/>
    </xf>
    <xf numFmtId="0" fontId="1" fillId="2" borderId="0" xfId="0" applyFont="1" applyFill="1" applyAlignment="1">
      <alignment horizontal="left" vertical="center" indent="2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1"/>
    </xf>
    <xf numFmtId="0" fontId="5" fillId="6" borderId="1" xfId="0" applyFont="1" applyFill="1" applyBorder="1" applyAlignment="1">
      <alignment horizontal="left" vertical="center" wrapText="1" indent="1"/>
    </xf>
    <xf numFmtId="0" fontId="6" fillId="6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3" fontId="14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8F0FE"/>
      <rgbColor rgb="FF660066"/>
      <rgbColor rgb="FFFF8080"/>
      <rgbColor rgb="FF1A56DB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DF4"/>
      <rgbColor rgb="FFF1F5F9"/>
      <rgbColor rgb="FFF8FAFC"/>
      <rgbColor rgb="FF86EFAC"/>
      <rgbColor rgb="FFFF99CC"/>
      <rgbColor rgb="FFCC99FF"/>
      <rgbColor rgb="FFEFF6FF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1E3A5F"/>
      <rgbColor rgb="FF339966"/>
      <rgbColor rgb="FF14532D"/>
      <rgbColor rgb="FF333300"/>
      <rgbColor rgb="FF92400E"/>
      <rgbColor rgb="FF993366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zoomScale="152" zoomScaleNormal="152" workbookViewId="0">
      <pane ySplit="2" topLeftCell="A3" activePane="bottomLeft" state="frozen"/>
      <selection pane="bottomLeft" activeCell="A22" sqref="A22"/>
    </sheetView>
  </sheetViews>
  <sheetFormatPr baseColWidth="10" defaultColWidth="8.6640625" defaultRowHeight="15" x14ac:dyDescent="0.2"/>
  <cols>
    <col min="1" max="1" width="30" customWidth="1"/>
    <col min="2" max="2" width="46" customWidth="1"/>
    <col min="3" max="4" width="13" customWidth="1"/>
    <col min="5" max="5" width="16" customWidth="1"/>
    <col min="6" max="6" width="18" customWidth="1"/>
  </cols>
  <sheetData>
    <row r="1" spans="1:6" ht="33.75" customHeight="1" x14ac:dyDescent="0.2">
      <c r="A1" s="13" t="s">
        <v>30</v>
      </c>
      <c r="B1" s="13"/>
      <c r="C1" s="13"/>
      <c r="D1" s="13"/>
      <c r="E1" s="13"/>
      <c r="F1" s="13"/>
    </row>
    <row r="2" spans="1:6" ht="21.75" customHeight="1" x14ac:dyDescent="0.2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</row>
    <row r="3" spans="1:6" ht="19.5" customHeight="1" x14ac:dyDescent="0.2">
      <c r="A3" s="12" t="s">
        <v>6</v>
      </c>
      <c r="B3" s="12"/>
      <c r="C3" s="12"/>
      <c r="D3" s="12"/>
      <c r="E3" s="12"/>
      <c r="F3" s="12"/>
    </row>
    <row r="4" spans="1:6" ht="19.5" customHeight="1" x14ac:dyDescent="0.2">
      <c r="A4" s="15" t="s">
        <v>7</v>
      </c>
      <c r="B4" s="16" t="s">
        <v>8</v>
      </c>
      <c r="C4" s="17" t="s">
        <v>9</v>
      </c>
      <c r="D4" s="18">
        <v>13</v>
      </c>
      <c r="E4" s="19">
        <v>477</v>
      </c>
      <c r="F4" s="20">
        <f>D4*E4</f>
        <v>6201</v>
      </c>
    </row>
    <row r="5" spans="1:6" ht="19.5" customHeight="1" x14ac:dyDescent="0.2">
      <c r="A5" s="21" t="s">
        <v>10</v>
      </c>
      <c r="B5" s="22" t="s">
        <v>11</v>
      </c>
      <c r="C5" s="23" t="s">
        <v>12</v>
      </c>
      <c r="D5" s="18">
        <v>26</v>
      </c>
      <c r="E5" s="19">
        <v>700</v>
      </c>
      <c r="F5" s="24">
        <f>D5*E5</f>
        <v>18200</v>
      </c>
    </row>
    <row r="6" spans="1:6" ht="19.5" customHeight="1" x14ac:dyDescent="0.2">
      <c r="A6" s="11" t="s">
        <v>13</v>
      </c>
      <c r="B6" s="11"/>
      <c r="C6" s="11"/>
      <c r="D6" s="11"/>
      <c r="E6" s="11"/>
      <c r="F6" s="25">
        <f>SUM(F4:F5)</f>
        <v>24401</v>
      </c>
    </row>
    <row r="8" spans="1:6" ht="19.5" customHeight="1" x14ac:dyDescent="0.2">
      <c r="A8" s="12" t="s">
        <v>14</v>
      </c>
      <c r="B8" s="12"/>
      <c r="C8" s="12"/>
      <c r="D8" s="12"/>
      <c r="E8" s="12"/>
      <c r="F8" s="12"/>
    </row>
    <row r="9" spans="1:6" ht="19.5" customHeight="1" x14ac:dyDescent="0.2">
      <c r="A9" s="15" t="s">
        <v>15</v>
      </c>
      <c r="B9" s="16" t="s">
        <v>16</v>
      </c>
      <c r="C9" s="17" t="s">
        <v>17</v>
      </c>
      <c r="D9" s="18">
        <v>1</v>
      </c>
      <c r="E9" s="19">
        <v>0</v>
      </c>
      <c r="F9" s="20">
        <f>D9*E9</f>
        <v>0</v>
      </c>
    </row>
    <row r="10" spans="1:6" ht="19.5" customHeight="1" x14ac:dyDescent="0.2">
      <c r="A10" s="21" t="s">
        <v>18</v>
      </c>
      <c r="B10" s="22" t="s">
        <v>19</v>
      </c>
      <c r="C10" s="23" t="s">
        <v>20</v>
      </c>
      <c r="D10" s="18">
        <v>1</v>
      </c>
      <c r="E10" s="19">
        <v>1600</v>
      </c>
      <c r="F10" s="24">
        <f>D10*E10</f>
        <v>1600</v>
      </c>
    </row>
    <row r="11" spans="1:6" ht="19.5" customHeight="1" x14ac:dyDescent="0.2">
      <c r="A11" s="11" t="s">
        <v>21</v>
      </c>
      <c r="B11" s="11"/>
      <c r="C11" s="11"/>
      <c r="D11" s="11"/>
      <c r="E11" s="11"/>
      <c r="F11" s="25">
        <f>SUM(F9:F10)</f>
        <v>1600</v>
      </c>
    </row>
    <row r="13" spans="1:6" ht="19.5" customHeight="1" x14ac:dyDescent="0.2">
      <c r="A13" s="12" t="s">
        <v>22</v>
      </c>
      <c r="B13" s="12"/>
      <c r="C13" s="12"/>
      <c r="D13" s="12"/>
      <c r="E13" s="12"/>
      <c r="F13" s="12"/>
    </row>
    <row r="14" spans="1:6" ht="19.5" customHeight="1" x14ac:dyDescent="0.2">
      <c r="A14" s="10" t="s">
        <v>23</v>
      </c>
      <c r="B14" s="10"/>
      <c r="C14" s="10"/>
      <c r="D14" s="10"/>
      <c r="E14" s="9" t="s">
        <v>24</v>
      </c>
      <c r="F14" s="9"/>
    </row>
    <row r="15" spans="1:6" ht="19.5" customHeight="1" x14ac:dyDescent="0.2">
      <c r="A15" s="8" t="s">
        <v>25</v>
      </c>
      <c r="B15" s="8"/>
      <c r="C15" s="8"/>
      <c r="D15" s="8"/>
      <c r="E15" s="7">
        <f>F6</f>
        <v>24401</v>
      </c>
      <c r="F15" s="7"/>
    </row>
    <row r="16" spans="1:6" ht="19.5" customHeight="1" x14ac:dyDescent="0.2">
      <c r="A16" s="6" t="s">
        <v>26</v>
      </c>
      <c r="B16" s="6"/>
      <c r="C16" s="6"/>
      <c r="D16" s="6"/>
      <c r="E16" s="5">
        <f>F11</f>
        <v>1600</v>
      </c>
      <c r="F16" s="5"/>
    </row>
    <row r="17" spans="1:6" ht="19.5" customHeight="1" x14ac:dyDescent="0.2">
      <c r="A17" s="11" t="s">
        <v>27</v>
      </c>
      <c r="B17" s="11"/>
      <c r="C17" s="11"/>
      <c r="D17" s="11"/>
      <c r="E17" s="4">
        <f>E15+E16</f>
        <v>26001</v>
      </c>
      <c r="F17" s="4"/>
    </row>
    <row r="18" spans="1:6" ht="18" customHeight="1" x14ac:dyDescent="0.2">
      <c r="A18" s="3" t="s">
        <v>28</v>
      </c>
      <c r="B18" s="3"/>
      <c r="C18" s="3"/>
      <c r="D18" s="3"/>
      <c r="E18" s="2">
        <f>E17*0.2</f>
        <v>5200.2000000000007</v>
      </c>
      <c r="F18" s="2"/>
    </row>
    <row r="19" spans="1:6" ht="27.75" customHeight="1" x14ac:dyDescent="0.2">
      <c r="A19" s="1" t="s">
        <v>29</v>
      </c>
      <c r="B19" s="1"/>
      <c r="C19" s="1"/>
      <c r="D19" s="1"/>
      <c r="E19" s="26">
        <f>E17+E18</f>
        <v>31201.200000000001</v>
      </c>
      <c r="F19" s="26"/>
    </row>
  </sheetData>
  <mergeCells count="18">
    <mergeCell ref="A19:D19"/>
    <mergeCell ref="E19:F19"/>
    <mergeCell ref="A16:D16"/>
    <mergeCell ref="E16:F16"/>
    <mergeCell ref="A17:D17"/>
    <mergeCell ref="E17:F17"/>
    <mergeCell ref="A18:D18"/>
    <mergeCell ref="E18:F18"/>
    <mergeCell ref="A11:E11"/>
    <mergeCell ref="A13:F13"/>
    <mergeCell ref="A14:D14"/>
    <mergeCell ref="E14:F14"/>
    <mergeCell ref="A15:D15"/>
    <mergeCell ref="E15:F15"/>
    <mergeCell ref="A1:F1"/>
    <mergeCell ref="A3:F3"/>
    <mergeCell ref="A6:E6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2026-10-20T03:49:48Z</dcterms:created>
  <dcterms:modified xsi:type="dcterms:W3CDTF">2026-10-20T03:55:23Z</dcterms:modified>
  <dc:language>en-US</dc:language>
</cp:coreProperties>
</file>