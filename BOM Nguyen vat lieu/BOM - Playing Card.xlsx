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bap/Downloads/"/>
    </mc:Choice>
  </mc:AlternateContent>
  <xr:revisionPtr revIDLastSave="0" documentId="13_ncr:1_{15E585F1-01F7-B247-A662-3F8B9650A0B7}" xr6:coauthVersionLast="47" xr6:coauthVersionMax="47" xr10:uidLastSave="{00000000-0000-0000-0000-000000000000}"/>
  <bookViews>
    <workbookView xWindow="0" yWindow="500" windowWidth="33600" windowHeight="19260" tabRatio="500" xr2:uid="{00000000-000D-0000-FFFF-FFFF00000000}"/>
  </bookViews>
  <sheets>
    <sheet name="Playing Card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8" i="1" l="1"/>
  <c r="F17" i="1"/>
  <c r="F16" i="1"/>
  <c r="F12" i="1"/>
  <c r="F11" i="1"/>
  <c r="F10" i="1"/>
  <c r="F13" i="1" s="1"/>
  <c r="E24" i="1" s="1"/>
  <c r="F6" i="1"/>
  <c r="F5" i="1"/>
  <c r="F4" i="1"/>
  <c r="F7" i="1" s="1"/>
  <c r="F19" i="1" l="1"/>
  <c r="F24" i="1" s="1"/>
  <c r="E23" i="1"/>
  <c r="E25" i="1" s="1"/>
  <c r="F23" i="1"/>
  <c r="F25" i="1" l="1"/>
  <c r="F26" i="1" s="1"/>
  <c r="F27" i="1" s="1"/>
  <c r="E26" i="1"/>
  <c r="E27" i="1" s="1"/>
</calcChain>
</file>

<file path=xl/sharedStrings.xml><?xml version="1.0" encoding="utf-8"?>
<sst xmlns="http://schemas.openxmlformats.org/spreadsheetml/2006/main" count="49" uniqueCount="48">
  <si>
    <t>BOM Cost — Playing Cards</t>
  </si>
  <si>
    <t>Tên nguyên vật liệu</t>
  </si>
  <si>
    <t>Mô tả / Ghi chú</t>
  </si>
  <si>
    <t>ĐVT</t>
  </si>
  <si>
    <t>Định mức</t>
  </si>
  <si>
    <t>Đơn giá (đ)</t>
  </si>
  <si>
    <t>Thành tiền (đ)</t>
  </si>
  <si>
    <t>NHÓM 1 – In ấn</t>
  </si>
  <si>
    <t>Giấy C300gsm 33x48cm</t>
  </si>
  <si>
    <t>In mặt thẻ bài · 18 lá/tờ · 54 lá/bộ = 3 tờ/bộ</t>
  </si>
  <si>
    <t>tờ/bộ</t>
  </si>
  <si>
    <t>In Konica (2 mặt)</t>
  </si>
  <si>
    <t>3 tờ × 4 click/tờ = 12 click · 700đ/click</t>
  </si>
  <si>
    <t>click/bộ</t>
  </si>
  <si>
    <t>Cán màng mờ 28mic</t>
  </si>
  <si>
    <t>3 tờ × 2 mặt = 6 lần</t>
  </si>
  <si>
    <t>lần cán</t>
  </si>
  <si>
    <t>Tổng NVL Nhóm 1</t>
  </si>
  <si>
    <t>NHÓM 2A – Bao bì (Hộp Giấy Irovy)</t>
  </si>
  <si>
    <t>Giấy Irovy 300gsm 33x48cm</t>
  </si>
  <si>
    <t>1 tờ 33×48cm → cắt 4 hộp : 4</t>
  </si>
  <si>
    <t>tờ/hộp</t>
  </si>
  <si>
    <t>In hộp (Konica)</t>
  </si>
  <si>
    <t>1 mặt · 2 click/tờ ÷ 4 hộp = 0.5 click/hộp</t>
  </si>
  <si>
    <t>click/hộp</t>
  </si>
  <si>
    <t>1 mặt ngoài · 1.008đ/tờ ÷ 4 hộp = 252đ/hộp</t>
  </si>
  <si>
    <t>lần/hộp</t>
  </si>
  <si>
    <t>Tổng NVL Nhóm 2A</t>
  </si>
  <si>
    <t>NHÓM 2B – Bao bì (Hộp Nhựa)</t>
  </si>
  <si>
    <t>Hộp nhựa</t>
  </si>
  <si>
    <t>Giá cố định / hộp · mỗi hộp ~50g nhựa</t>
  </si>
  <si>
    <t>cái/bộ</t>
  </si>
  <si>
    <t>Decal tờ 33x48cm (dải cuốn ngoài hộp)</t>
  </si>
  <si>
    <t>Khổ 33×48cm · 1 tờ → 9 dải</t>
  </si>
  <si>
    <t>tờ/dải</t>
  </si>
  <si>
    <t>In dải cuốn (Konica)</t>
  </si>
  <si>
    <t>1 mặt · 2 click/tờ ÷ 9 dải = 0.22 click/dải</t>
  </si>
  <si>
    <t>click/dải</t>
  </si>
  <si>
    <t>Tổng NVL Nhóm 2B</t>
  </si>
  <si>
    <t>📊  BẢNG TỔNG HỢP — Chi phí cuối / sản phẩm (gồm biến phí SX 20%)</t>
  </si>
  <si>
    <t>Khoản mục</t>
  </si>
  <si>
    <t>Hộp Nhựa</t>
  </si>
  <si>
    <t>Nhóm 1 – In ấn (Bộ thẻ)</t>
  </si>
  <si>
    <t>Nhóm 2 – Bao bì</t>
  </si>
  <si>
    <t>Tổng NVL (chưa biến phí)</t>
  </si>
  <si>
    <t xml:space="preserve">  + Biến phí sản xuất (20%)</t>
  </si>
  <si>
    <t>Hộp Giấy</t>
  </si>
  <si>
    <t>TỔNG CHI PHÍ / SẢN PHẨM (gồm biến phí)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</si>
</sst>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"/>
  </numFmts>
  <fonts count="17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  <charset val="1"/>
    </font>
    <font>
      <b/>
      <sz val="9"/>
      <color rgb="FF475569"/>
      <name val="Arial"/>
      <family val="2"/>
      <charset val="1"/>
    </font>
    <font>
      <b/>
      <sz val="10"/>
      <color rgb="FF1A56DB"/>
      <name val="Arial"/>
      <family val="2"/>
    </font>
    <font>
      <b/>
      <sz val="10"/>
      <color rgb="FF1E3A5F"/>
      <name val="Arial"/>
      <family val="2"/>
      <charset val="1"/>
    </font>
    <font>
      <i/>
      <sz val="9"/>
      <color rgb="FF94A3B8"/>
      <name val="Arial"/>
      <family val="2"/>
      <charset val="1"/>
    </font>
    <font>
      <sz val="9"/>
      <color rgb="FF475569"/>
      <name val="Arial"/>
      <family val="2"/>
      <charset val="1"/>
    </font>
    <font>
      <b/>
      <sz val="10"/>
      <color rgb="FF166534"/>
      <name val="Arial"/>
      <family val="2"/>
      <charset val="1"/>
    </font>
    <font>
      <b/>
      <sz val="10"/>
      <color rgb="FF14532D"/>
      <name val="Arial"/>
      <family val="2"/>
    </font>
    <font>
      <b/>
      <sz val="11"/>
      <color rgb="FF14532D"/>
      <name val="Arial"/>
      <family val="2"/>
    </font>
    <font>
      <b/>
      <sz val="9"/>
      <color rgb="FF475569"/>
      <name val="Arial"/>
      <family val="2"/>
    </font>
    <font>
      <sz val="10"/>
      <color rgb="FF334155"/>
      <name val="Arial"/>
      <family val="2"/>
    </font>
    <font>
      <b/>
      <sz val="10"/>
      <color rgb="FF166534"/>
      <name val="Arial"/>
      <family val="2"/>
    </font>
    <font>
      <i/>
      <sz val="9"/>
      <color rgb="FF92400E"/>
      <name val="Arial"/>
      <family val="2"/>
    </font>
    <font>
      <i/>
      <sz val="10"/>
      <color rgb="FF92400E"/>
      <name val="Arial"/>
      <family val="2"/>
    </font>
    <font>
      <b/>
      <sz val="12"/>
      <color rgb="FFFFFFFF"/>
      <name val="Arial"/>
      <family val="2"/>
    </font>
    <font>
      <b/>
      <sz val="13"/>
      <color rgb="FF86EFAC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E3A5F"/>
        <bgColor rgb="FF334155"/>
      </patternFill>
    </fill>
    <fill>
      <patternFill patternType="solid">
        <fgColor rgb="FFF8FAFC"/>
        <bgColor rgb="FFFFFFFF"/>
      </patternFill>
    </fill>
    <fill>
      <patternFill patternType="solid">
        <fgColor rgb="FFF1F5F9"/>
        <bgColor rgb="FFEFF6FF"/>
      </patternFill>
    </fill>
    <fill>
      <patternFill patternType="solid">
        <fgColor rgb="FFE8F0FE"/>
        <bgColor rgb="FFEFF6FF"/>
      </patternFill>
    </fill>
    <fill>
      <patternFill patternType="solid">
        <fgColor rgb="FFFFFFFF"/>
        <bgColor rgb="FFF8FAFC"/>
      </patternFill>
    </fill>
    <fill>
      <patternFill patternType="solid">
        <fgColor rgb="FFEFF6FF"/>
        <bgColor rgb="FFF1F5F9"/>
      </patternFill>
    </fill>
    <fill>
      <patternFill patternType="solid">
        <fgColor rgb="FFF0FDF4"/>
        <bgColor rgb="FFF8FAFC"/>
      </patternFill>
    </fill>
    <fill>
      <patternFill patternType="solid">
        <fgColor rgb="FFFFFBEB"/>
        <b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 vertical="center" indent="2"/>
    </xf>
    <xf numFmtId="0" fontId="2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indent="1"/>
    </xf>
    <xf numFmtId="0" fontId="5" fillId="6" borderId="1" xfId="0" applyFont="1" applyFill="1" applyBorder="1" applyAlignment="1">
      <alignment vertical="center" wrapText="1" indent="1"/>
    </xf>
    <xf numFmtId="0" fontId="6" fillId="6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right" vertical="center"/>
    </xf>
    <xf numFmtId="3" fontId="4" fillId="7" borderId="1" xfId="0" applyNumberFormat="1" applyFont="1" applyFill="1" applyBorder="1" applyAlignment="1">
      <alignment horizontal="right" vertical="center"/>
    </xf>
    <xf numFmtId="3" fontId="7" fillId="6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vertical="center" indent="1"/>
    </xf>
    <xf numFmtId="0" fontId="5" fillId="3" borderId="1" xfId="0" applyFont="1" applyFill="1" applyBorder="1" applyAlignment="1">
      <alignment vertical="center" wrapText="1" indent="1"/>
    </xf>
    <xf numFmtId="0" fontId="6" fillId="3" borderId="1" xfId="0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right" vertical="center"/>
    </xf>
    <xf numFmtId="3" fontId="9" fillId="8" borderId="1" xfId="0" applyNumberFormat="1" applyFont="1" applyFill="1" applyBorder="1" applyAlignment="1">
      <alignment horizontal="right" vertical="center"/>
    </xf>
    <xf numFmtId="0" fontId="10" fillId="4" borderId="1" xfId="0" applyFont="1" applyFill="1" applyBorder="1" applyAlignment="1">
      <alignment horizontal="center" vertical="center"/>
    </xf>
    <xf numFmtId="3" fontId="12" fillId="6" borderId="1" xfId="0" applyNumberFormat="1" applyFont="1" applyFill="1" applyBorder="1" applyAlignment="1">
      <alignment horizontal="right" vertical="center"/>
    </xf>
    <xf numFmtId="3" fontId="12" fillId="3" borderId="1" xfId="0" applyNumberFormat="1" applyFont="1" applyFill="1" applyBorder="1" applyAlignment="1">
      <alignment horizontal="right" vertical="center"/>
    </xf>
    <xf numFmtId="3" fontId="14" fillId="9" borderId="1" xfId="0" applyNumberFormat="1" applyFont="1" applyFill="1" applyBorder="1" applyAlignment="1">
      <alignment horizontal="right" vertical="center"/>
    </xf>
    <xf numFmtId="3" fontId="16" fillId="2" borderId="1" xfId="0" applyNumberFormat="1" applyFont="1" applyFill="1" applyBorder="1" applyAlignment="1">
      <alignment horizontal="right" vertical="center"/>
    </xf>
    <xf numFmtId="0" fontId="8" fillId="8" borderId="2" xfId="0" applyFont="1" applyFill="1" applyBorder="1" applyAlignment="1">
      <alignment horizontal="right" vertical="center" indent="1"/>
    </xf>
    <xf numFmtId="0" fontId="13" fillId="9" borderId="2" xfId="0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right" vertical="center" indent="1"/>
    </xf>
    <xf numFmtId="0" fontId="8" fillId="8" borderId="1" xfId="0" applyFont="1" applyFill="1" applyBorder="1" applyAlignment="1">
      <alignment horizontal="right" vertical="center" indent="1"/>
    </xf>
    <xf numFmtId="0" fontId="3" fillId="5" borderId="2" xfId="0" applyFont="1" applyFill="1" applyBorder="1" applyAlignment="1">
      <alignment horizontal="left" vertical="center" indent="2"/>
    </xf>
    <xf numFmtId="0" fontId="10" fillId="4" borderId="2" xfId="0" applyFont="1" applyFill="1" applyBorder="1" applyAlignment="1">
      <alignment horizontal="left" vertical="center" indent="1"/>
    </xf>
    <xf numFmtId="0" fontId="11" fillId="6" borderId="2" xfId="0" applyFont="1" applyFill="1" applyBorder="1" applyAlignment="1">
      <alignment horizontal="left" vertical="center" indent="2"/>
    </xf>
    <xf numFmtId="0" fontId="11" fillId="3" borderId="2" xfId="0" applyFont="1" applyFill="1" applyBorder="1" applyAlignment="1">
      <alignment horizontal="left" vertical="center" indent="2"/>
    </xf>
    <xf numFmtId="0" fontId="3" fillId="5" borderId="1" xfId="0" applyFont="1" applyFill="1" applyBorder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EB"/>
      <rgbColor rgb="FFE8F0FE"/>
      <rgbColor rgb="FF660066"/>
      <rgbColor rgb="FFFF8080"/>
      <rgbColor rgb="FF1A56DB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DF4"/>
      <rgbColor rgb="FFF1F5F9"/>
      <rgbColor rgb="FFF8FAFC"/>
      <rgbColor rgb="FF86EFAC"/>
      <rgbColor rgb="FFFF99CC"/>
      <rgbColor rgb="FFCC99FF"/>
      <rgbColor rgb="FFEFF6FF"/>
      <rgbColor rgb="FF3366FF"/>
      <rgbColor rgb="FF33CCCC"/>
      <rgbColor rgb="FF99CC00"/>
      <rgbColor rgb="FFFFCC00"/>
      <rgbColor rgb="FFFF9900"/>
      <rgbColor rgb="FFFF6600"/>
      <rgbColor rgb="FF475569"/>
      <rgbColor rgb="FF94A3B8"/>
      <rgbColor rgb="FF1E3A5F"/>
      <rgbColor rgb="FF339966"/>
      <rgbColor rgb="FF14532D"/>
      <rgbColor rgb="FF333300"/>
      <rgbColor rgb="FF92400E"/>
      <rgbColor rgb="FF993366"/>
      <rgbColor rgb="FF333399"/>
      <rgbColor rgb="FF3341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showGridLines="0" tabSelected="1" zoomScale="143" zoomScaleNormal="143" workbookViewId="0">
      <pane ySplit="2" topLeftCell="A11" activePane="bottomLeft" state="frozen"/>
      <selection pane="bottomLeft" activeCell="A28" sqref="A28"/>
    </sheetView>
  </sheetViews>
  <sheetFormatPr baseColWidth="10" defaultColWidth="8.83203125" defaultRowHeight="15" x14ac:dyDescent="0.2"/>
  <cols>
    <col min="1" max="1" width="33.83203125" customWidth="1"/>
    <col min="2" max="2" width="38" customWidth="1"/>
    <col min="3" max="4" width="14" customWidth="1"/>
    <col min="5" max="5" width="16" customWidth="1"/>
    <col min="6" max="6" width="18" customWidth="1"/>
  </cols>
  <sheetData>
    <row r="1" spans="1:6" ht="33.75" customHeight="1" x14ac:dyDescent="0.2">
      <c r="A1" s="1" t="s">
        <v>0</v>
      </c>
    </row>
    <row r="2" spans="1:6" ht="21.75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19.5" customHeight="1" x14ac:dyDescent="0.2">
      <c r="A3" s="27" t="s">
        <v>7</v>
      </c>
      <c r="B3" s="27"/>
      <c r="C3" s="27"/>
      <c r="D3" s="27"/>
      <c r="E3" s="27"/>
      <c r="F3" s="27"/>
    </row>
    <row r="4" spans="1:6" ht="19.5" customHeight="1" x14ac:dyDescent="0.2">
      <c r="A4" s="3" t="s">
        <v>8</v>
      </c>
      <c r="B4" s="4" t="s">
        <v>9</v>
      </c>
      <c r="C4" s="5" t="s">
        <v>10</v>
      </c>
      <c r="D4" s="6">
        <v>3</v>
      </c>
      <c r="E4" s="7">
        <v>1084</v>
      </c>
      <c r="F4" s="8">
        <f>D4*E4</f>
        <v>3252</v>
      </c>
    </row>
    <row r="5" spans="1:6" ht="19.5" customHeight="1" x14ac:dyDescent="0.2">
      <c r="A5" s="9" t="s">
        <v>11</v>
      </c>
      <c r="B5" s="10" t="s">
        <v>12</v>
      </c>
      <c r="C5" s="11" t="s">
        <v>13</v>
      </c>
      <c r="D5" s="6">
        <v>12</v>
      </c>
      <c r="E5" s="7">
        <v>700</v>
      </c>
      <c r="F5" s="12">
        <f>D5*E5</f>
        <v>8400</v>
      </c>
    </row>
    <row r="6" spans="1:6" ht="19.5" customHeight="1" x14ac:dyDescent="0.2">
      <c r="A6" s="3" t="s">
        <v>14</v>
      </c>
      <c r="B6" s="4" t="s">
        <v>15</v>
      </c>
      <c r="C6" s="5" t="s">
        <v>16</v>
      </c>
      <c r="D6" s="6">
        <v>6</v>
      </c>
      <c r="E6" s="7">
        <v>859</v>
      </c>
      <c r="F6" s="8">
        <f>D6*E6</f>
        <v>5154</v>
      </c>
    </row>
    <row r="7" spans="1:6" ht="19.5" customHeight="1" x14ac:dyDescent="0.2">
      <c r="A7" s="22" t="s">
        <v>17</v>
      </c>
      <c r="B7" s="22"/>
      <c r="C7" s="22"/>
      <c r="D7" s="22"/>
      <c r="E7" s="22"/>
      <c r="F7" s="13">
        <f>SUM(F4:F6)</f>
        <v>16806</v>
      </c>
    </row>
    <row r="8" spans="1:6" ht="19.5" customHeight="1" x14ac:dyDescent="0.2"/>
    <row r="9" spans="1:6" ht="19.5" customHeight="1" x14ac:dyDescent="0.2">
      <c r="A9" s="27" t="s">
        <v>18</v>
      </c>
      <c r="B9" s="27"/>
      <c r="C9" s="27"/>
      <c r="D9" s="27"/>
      <c r="E9" s="27"/>
      <c r="F9" s="27"/>
    </row>
    <row r="10" spans="1:6" x14ac:dyDescent="0.2">
      <c r="A10" s="3" t="s">
        <v>19</v>
      </c>
      <c r="B10" s="4" t="s">
        <v>20</v>
      </c>
      <c r="C10" s="5" t="s">
        <v>21</v>
      </c>
      <c r="D10" s="6">
        <v>0.25</v>
      </c>
      <c r="E10" s="7">
        <v>1264</v>
      </c>
      <c r="F10" s="8">
        <f>D10*E10</f>
        <v>316</v>
      </c>
    </row>
    <row r="11" spans="1:6" ht="19.5" customHeight="1" x14ac:dyDescent="0.2">
      <c r="A11" s="9" t="s">
        <v>22</v>
      </c>
      <c r="B11" s="10" t="s">
        <v>23</v>
      </c>
      <c r="C11" s="11" t="s">
        <v>24</v>
      </c>
      <c r="D11" s="6">
        <v>0.25</v>
      </c>
      <c r="E11" s="7">
        <v>1400</v>
      </c>
      <c r="F11" s="12">
        <f>D11*E11</f>
        <v>350</v>
      </c>
    </row>
    <row r="12" spans="1:6" ht="19.5" customHeight="1" x14ac:dyDescent="0.2">
      <c r="A12" s="3" t="s">
        <v>14</v>
      </c>
      <c r="B12" s="4" t="s">
        <v>25</v>
      </c>
      <c r="C12" s="5" t="s">
        <v>26</v>
      </c>
      <c r="D12" s="6">
        <v>0.25</v>
      </c>
      <c r="E12" s="7">
        <v>859</v>
      </c>
      <c r="F12" s="8">
        <f>D12*E12</f>
        <v>214.75</v>
      </c>
    </row>
    <row r="13" spans="1:6" ht="19.5" customHeight="1" x14ac:dyDescent="0.2">
      <c r="A13" s="22" t="s">
        <v>27</v>
      </c>
      <c r="B13" s="22"/>
      <c r="C13" s="22"/>
      <c r="D13" s="22"/>
      <c r="E13" s="22"/>
      <c r="F13" s="13">
        <f>SUM(F10:F12)</f>
        <v>880.75</v>
      </c>
    </row>
    <row r="14" spans="1:6" ht="19.5" customHeight="1" x14ac:dyDescent="0.2"/>
    <row r="15" spans="1:6" ht="19.5" customHeight="1" x14ac:dyDescent="0.2">
      <c r="A15" s="27" t="s">
        <v>28</v>
      </c>
      <c r="B15" s="27"/>
      <c r="C15" s="27"/>
      <c r="D15" s="27"/>
      <c r="E15" s="27"/>
      <c r="F15" s="27"/>
    </row>
    <row r="16" spans="1:6" ht="19.5" customHeight="1" x14ac:dyDescent="0.2">
      <c r="A16" s="3" t="s">
        <v>29</v>
      </c>
      <c r="B16" s="4" t="s">
        <v>30</v>
      </c>
      <c r="C16" s="5" t="s">
        <v>31</v>
      </c>
      <c r="D16" s="6">
        <v>1</v>
      </c>
      <c r="E16" s="7">
        <v>25000</v>
      </c>
      <c r="F16" s="8">
        <f>D16*E16</f>
        <v>25000</v>
      </c>
    </row>
    <row r="17" spans="1:6" ht="19.5" customHeight="1" x14ac:dyDescent="0.2">
      <c r="A17" s="9" t="s">
        <v>32</v>
      </c>
      <c r="B17" s="10" t="s">
        <v>33</v>
      </c>
      <c r="C17" s="11" t="s">
        <v>34</v>
      </c>
      <c r="D17" s="6">
        <v>0.111</v>
      </c>
      <c r="E17" s="7">
        <v>6000</v>
      </c>
      <c r="F17" s="12">
        <f>D17*E17</f>
        <v>666</v>
      </c>
    </row>
    <row r="18" spans="1:6" x14ac:dyDescent="0.2">
      <c r="A18" s="3" t="s">
        <v>35</v>
      </c>
      <c r="B18" s="4" t="s">
        <v>36</v>
      </c>
      <c r="C18" s="5" t="s">
        <v>37</v>
      </c>
      <c r="D18" s="6">
        <v>0.222</v>
      </c>
      <c r="E18" s="7">
        <v>700</v>
      </c>
      <c r="F18" s="8">
        <f>D18*E18</f>
        <v>155.4</v>
      </c>
    </row>
    <row r="19" spans="1:6" ht="19.5" customHeight="1" x14ac:dyDescent="0.2">
      <c r="A19" s="22" t="s">
        <v>38</v>
      </c>
      <c r="B19" s="22"/>
      <c r="C19" s="22"/>
      <c r="D19" s="22"/>
      <c r="E19" s="22"/>
      <c r="F19" s="13">
        <f>SUM(F16:F18)</f>
        <v>25821.4</v>
      </c>
    </row>
    <row r="20" spans="1:6" ht="19.5" customHeight="1" x14ac:dyDescent="0.2"/>
    <row r="21" spans="1:6" ht="21.75" customHeight="1" x14ac:dyDescent="0.2">
      <c r="A21" s="23" t="s">
        <v>39</v>
      </c>
      <c r="B21" s="23"/>
      <c r="C21" s="23"/>
      <c r="D21" s="23"/>
      <c r="E21" s="23"/>
      <c r="F21" s="23"/>
    </row>
    <row r="22" spans="1:6" ht="19.5" customHeight="1" x14ac:dyDescent="0.2">
      <c r="A22" s="24" t="s">
        <v>40</v>
      </c>
      <c r="B22" s="24"/>
      <c r="C22" s="24"/>
      <c r="D22" s="24"/>
      <c r="E22" s="14" t="s">
        <v>46</v>
      </c>
      <c r="F22" s="14" t="s">
        <v>41</v>
      </c>
    </row>
    <row r="23" spans="1:6" ht="19.5" customHeight="1" x14ac:dyDescent="0.2">
      <c r="A23" s="25" t="s">
        <v>42</v>
      </c>
      <c r="B23" s="25"/>
      <c r="C23" s="25"/>
      <c r="D23" s="25"/>
      <c r="E23" s="15">
        <f>F7</f>
        <v>16806</v>
      </c>
      <c r="F23" s="15">
        <f>F7</f>
        <v>16806</v>
      </c>
    </row>
    <row r="24" spans="1:6" ht="19.5" customHeight="1" x14ac:dyDescent="0.2">
      <c r="A24" s="26" t="s">
        <v>43</v>
      </c>
      <c r="B24" s="26"/>
      <c r="C24" s="26"/>
      <c r="D24" s="26"/>
      <c r="E24" s="16">
        <f>F13</f>
        <v>880.75</v>
      </c>
      <c r="F24" s="16">
        <f>F19</f>
        <v>25821.4</v>
      </c>
    </row>
    <row r="25" spans="1:6" ht="19.5" customHeight="1" x14ac:dyDescent="0.2">
      <c r="A25" s="19" t="s">
        <v>44</v>
      </c>
      <c r="B25" s="19"/>
      <c r="C25" s="19"/>
      <c r="D25" s="19"/>
      <c r="E25" s="13">
        <f>E23+E24</f>
        <v>17686.75</v>
      </c>
      <c r="F25" s="13">
        <f>F23+F24</f>
        <v>42627.4</v>
      </c>
    </row>
    <row r="26" spans="1:6" ht="18" customHeight="1" x14ac:dyDescent="0.2">
      <c r="A26" s="20" t="s">
        <v>45</v>
      </c>
      <c r="B26" s="20"/>
      <c r="C26" s="20"/>
      <c r="D26" s="20"/>
      <c r="E26" s="17">
        <f>E25*0.2</f>
        <v>3537.3500000000004</v>
      </c>
      <c r="F26" s="17">
        <f>F25*0.2</f>
        <v>8525.4800000000014</v>
      </c>
    </row>
    <row r="27" spans="1:6" ht="27.75" customHeight="1" x14ac:dyDescent="0.2">
      <c r="A27" s="21" t="s">
        <v>47</v>
      </c>
      <c r="B27" s="21"/>
      <c r="C27" s="21"/>
      <c r="D27" s="21"/>
      <c r="E27" s="18">
        <f>E25+E26</f>
        <v>21224.1</v>
      </c>
      <c r="F27" s="18">
        <f>F25+F26</f>
        <v>51152.880000000005</v>
      </c>
    </row>
    <row r="28" spans="1:6" ht="19.5" customHeight="1" x14ac:dyDescent="0.2"/>
    <row r="29" spans="1:6" ht="19.5" customHeight="1" x14ac:dyDescent="0.2"/>
    <row r="30" spans="1:6" ht="19.5" customHeight="1" x14ac:dyDescent="0.2"/>
    <row r="31" spans="1:6" ht="25.5" customHeight="1" x14ac:dyDescent="0.2"/>
  </sheetData>
  <mergeCells count="13">
    <mergeCell ref="A3:F3"/>
    <mergeCell ref="A7:E7"/>
    <mergeCell ref="A9:F9"/>
    <mergeCell ref="A13:E13"/>
    <mergeCell ref="A15:F15"/>
    <mergeCell ref="A25:D25"/>
    <mergeCell ref="A26:D26"/>
    <mergeCell ref="A27:D27"/>
    <mergeCell ref="A19:E19"/>
    <mergeCell ref="A21:F21"/>
    <mergeCell ref="A22:D22"/>
    <mergeCell ref="A23:D23"/>
    <mergeCell ref="A24:D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Playing 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2026-10-20T01:29:08Z</dcterms:created>
  <dcterms:modified xsi:type="dcterms:W3CDTF">2026-10-20T03:55:00Z</dcterms:modified>
  <dc:language>en-US</dc:language>
</cp:coreProperties>
</file>