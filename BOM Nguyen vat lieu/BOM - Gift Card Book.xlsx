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bap/Downloads/"/>
    </mc:Choice>
  </mc:AlternateContent>
  <xr:revisionPtr revIDLastSave="0" documentId="13_ncr:1_{E1A9E250-6E37-554E-A228-364C30171F04}" xr6:coauthVersionLast="47" xr6:coauthVersionMax="47" xr10:uidLastSave="{00000000-0000-0000-0000-000000000000}"/>
  <bookViews>
    <workbookView xWindow="0" yWindow="500" windowWidth="33600" windowHeight="19260" tabRatio="500" xr2:uid="{00000000-000D-0000-FFFF-FFFF00000000}"/>
  </bookViews>
  <sheets>
    <sheet name="Gift Card Book (5)" sheetId="3" r:id="rId1"/>
    <sheet name="Gift Card Book (10)" sheetId="5" r:id="rId2"/>
    <sheet name="Gift Card Book (15)" sheetId="1" r:id="rId3"/>
    <sheet name="Gift Card Book (20)" sheetId="6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2" i="6" l="1"/>
  <c r="F21" i="6"/>
  <c r="F23" i="6" s="1"/>
  <c r="F17" i="6"/>
  <c r="F16" i="6"/>
  <c r="F15" i="6"/>
  <c r="F18" i="6" s="1"/>
  <c r="F28" i="6" s="1"/>
  <c r="F11" i="6"/>
  <c r="F10" i="6"/>
  <c r="F9" i="6"/>
  <c r="F12" i="6" s="1"/>
  <c r="E28" i="6" s="1"/>
  <c r="F5" i="6"/>
  <c r="F4" i="6"/>
  <c r="F6" i="6" s="1"/>
  <c r="F27" i="6" s="1"/>
  <c r="F22" i="5"/>
  <c r="F21" i="5"/>
  <c r="F23" i="5" s="1"/>
  <c r="F17" i="5"/>
  <c r="F16" i="5"/>
  <c r="F15" i="5"/>
  <c r="F18" i="5" s="1"/>
  <c r="F28" i="5" s="1"/>
  <c r="F11" i="5"/>
  <c r="F10" i="5"/>
  <c r="F9" i="5"/>
  <c r="F12" i="5" s="1"/>
  <c r="E28" i="5" s="1"/>
  <c r="F5" i="5"/>
  <c r="F4" i="5"/>
  <c r="F29" i="3"/>
  <c r="E29" i="3"/>
  <c r="F23" i="3"/>
  <c r="F22" i="3"/>
  <c r="F21" i="3"/>
  <c r="F17" i="3"/>
  <c r="F16" i="3"/>
  <c r="F15" i="3"/>
  <c r="F18" i="3" s="1"/>
  <c r="F28" i="3" s="1"/>
  <c r="F11" i="3"/>
  <c r="F10" i="3"/>
  <c r="F9" i="3"/>
  <c r="F12" i="3" s="1"/>
  <c r="E28" i="3" s="1"/>
  <c r="F5" i="3"/>
  <c r="F6" i="3" s="1"/>
  <c r="E27" i="3" s="1"/>
  <c r="E30" i="3" s="1"/>
  <c r="F4" i="3"/>
  <c r="F22" i="1"/>
  <c r="F21" i="1"/>
  <c r="F23" i="1" s="1"/>
  <c r="F17" i="1"/>
  <c r="F16" i="1"/>
  <c r="F15" i="1"/>
  <c r="F11" i="1"/>
  <c r="F10" i="1"/>
  <c r="F9" i="1"/>
  <c r="F5" i="1"/>
  <c r="F4" i="1"/>
  <c r="F6" i="1" l="1"/>
  <c r="E27" i="1" s="1"/>
  <c r="F6" i="5"/>
  <c r="F27" i="5" s="1"/>
  <c r="F29" i="6"/>
  <c r="F30" i="6" s="1"/>
  <c r="E29" i="6"/>
  <c r="E27" i="6"/>
  <c r="E30" i="6" s="1"/>
  <c r="F29" i="5"/>
  <c r="F30" i="5" s="1"/>
  <c r="E29" i="5"/>
  <c r="E27" i="5"/>
  <c r="E30" i="5" s="1"/>
  <c r="E31" i="3"/>
  <c r="E32" i="3" s="1"/>
  <c r="F27" i="3"/>
  <c r="F30" i="3" s="1"/>
  <c r="F18" i="1"/>
  <c r="F28" i="1" s="1"/>
  <c r="F12" i="1"/>
  <c r="E28" i="1" s="1"/>
  <c r="E30" i="1"/>
  <c r="F29" i="1"/>
  <c r="E29" i="1"/>
  <c r="F27" i="1"/>
  <c r="F31" i="6" l="1"/>
  <c r="F32" i="6" s="1"/>
  <c r="E31" i="6"/>
  <c r="E32" i="6" s="1"/>
  <c r="F31" i="5"/>
  <c r="F32" i="5" s="1"/>
  <c r="E31" i="5"/>
  <c r="E32" i="5" s="1"/>
  <c r="F31" i="3"/>
  <c r="F32" i="3" s="1"/>
  <c r="F30" i="1"/>
  <c r="F31" i="1" s="1"/>
  <c r="F32" i="1" s="1"/>
  <c r="E31" i="1"/>
  <c r="E32" i="1" s="1"/>
</calcChain>
</file>

<file path=xl/sharedStrings.xml><?xml version="1.0" encoding="utf-8"?>
<sst xmlns="http://schemas.openxmlformats.org/spreadsheetml/2006/main" count="220" uniqueCount="53">
  <si>
    <t>Tên nguyên vật liệu</t>
  </si>
  <si>
    <t>Mô tả / Ghi chú</t>
  </si>
  <si>
    <t>ĐVT</t>
  </si>
  <si>
    <t>Định mức</t>
  </si>
  <si>
    <t>Đơn giá (đ)</t>
  </si>
  <si>
    <t>Thành tiền (đ)</t>
  </si>
  <si>
    <t>NHÓM 1 – Ruột quyển</t>
  </si>
  <si>
    <t>Giấy C300gsm 33×48cm</t>
  </si>
  <si>
    <t>tờ/quyển</t>
  </si>
  <si>
    <t>In Konica — ruột (1 mặt/tờ)</t>
  </si>
  <si>
    <t>8 tờ ruột × 2 click/tờ ÷ 2 quyển = 8 click/quyển</t>
  </si>
  <si>
    <t>click/quyển</t>
  </si>
  <si>
    <t>Tổng NVL Nhóm 1</t>
  </si>
  <si>
    <t>Giấy Irovy 300gsm 33×48cm</t>
  </si>
  <si>
    <t>In Konica — bìa (1 mặt/tờ)</t>
  </si>
  <si>
    <t>1 tờ bìa × 2 click/tờ ÷ 2 quyển = 1 click/quyển</t>
  </si>
  <si>
    <t>1 tờ/lô ÷ 2 quyển = 0.5 tờ/quyển</t>
  </si>
  <si>
    <t>Tổng NVL Nhóm 2A</t>
  </si>
  <si>
    <t>Tổng NVL Nhóm 2B</t>
  </si>
  <si>
    <t>Lò xo đóng quyển</t>
  </si>
  <si>
    <t>1 cái/quyển</t>
  </si>
  <si>
    <t>cái/quyển</t>
  </si>
  <si>
    <t>Băng keo chấm tròn 2 mặt</t>
  </si>
  <si>
    <t>1 dải/quyển</t>
  </si>
  <si>
    <t>Tổng NVL Nhóm 3</t>
  </si>
  <si>
    <t>📊  BẢNG TỔNG HỢP — Chi phí cuối / quyển (gồm biến phí SX 20%)</t>
  </si>
  <si>
    <t>Khoản mục</t>
  </si>
  <si>
    <t>Bìa Hologram</t>
  </si>
  <si>
    <t>Bìa Mờ</t>
  </si>
  <si>
    <t>Nhóm 1 – Ruột quyển</t>
  </si>
  <si>
    <t>Nhóm 2 – Bìa (gồm in + cán màng)</t>
  </si>
  <si>
    <t>Nhóm 3 – Hoàn thiện</t>
  </si>
  <si>
    <t>Tổng NVL (chưa biến phí)</t>
  </si>
  <si>
    <t xml:space="preserve">  + Biến phí sản xuất (20%)</t>
  </si>
  <si>
    <t>8 tờ/ 2 quyển = 4 tờ/quyển</t>
  </si>
  <si>
    <t>NHÓM 2A – Bìa (Hologram)</t>
  </si>
  <si>
    <t>NHÓM 2B – Bìa (Màng Mờ)</t>
  </si>
  <si>
    <t>1 tờ in 4 bìa (2 trước + 2 sau)/2 quyển = 0.5 tờ/quyển</t>
  </si>
  <si>
    <t>1 tờ/ 2 quyển = 0.5 tờ/quyển</t>
  </si>
  <si>
    <t>NHÓM 3 – Hoàn thiện (chung cả 2 loại bìa)</t>
  </si>
  <si>
    <t xml:space="preserve">Cán màng mờ 28mic </t>
  </si>
  <si>
    <t>Cán màng Hologram</t>
  </si>
  <si>
    <t>BOM Cost — Gift Card Book (Quyển 15 trang 2 bìa)</t>
  </si>
  <si>
    <t>TỔNG CHI PHÍ / 1 QUYỂN (gồm biến phí)</t>
  </si>
  <si>
    <t>BOM Cost — Gift Card Book (Quyển 5 trang 2 bìa)</t>
  </si>
  <si>
    <t>3 tờ/ 2 quyển = 1,5 tờ/quyển</t>
  </si>
  <si>
    <t>BOM Cost — Gift Card Book (Quyển 10 trang 2 bìa)</t>
  </si>
  <si>
    <t>5 tờ/ 2 quyển</t>
  </si>
  <si>
    <t>5 tờ ruột × 2 click/tờ ÷ 2 quyển</t>
  </si>
  <si>
    <t>BOM Cost — Gift Card Book (Quyển 20 trang 2 bìa)</t>
  </si>
  <si>
    <t>10 tờ/ 2 quyển</t>
  </si>
  <si>
    <t>10 tờ ruột × 2 click/tờ ÷ 2 quyển</t>
  </si>
  <si>
    <t>3 tờ ruột × 2 click/tờ ÷ 2 quyển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</si>
</sst>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"/>
  </numFmts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9"/>
      <color rgb="FF475569"/>
      <name val="Arial"/>
      <family val="2"/>
    </font>
    <font>
      <b/>
      <sz val="10"/>
      <color rgb="FF1A56DB"/>
      <name val="Arial"/>
      <family val="2"/>
    </font>
    <font>
      <b/>
      <sz val="10"/>
      <color rgb="FF1E3A5F"/>
      <name val="Arial"/>
      <family val="2"/>
    </font>
    <font>
      <i/>
      <sz val="9"/>
      <color rgb="FF94A3B8"/>
      <name val="Arial"/>
      <family val="2"/>
    </font>
    <font>
      <sz val="10"/>
      <color rgb="FF475569"/>
      <name val="Arial"/>
      <family val="2"/>
    </font>
    <font>
      <b/>
      <sz val="10"/>
      <color rgb="FF166534"/>
      <name val="Arial"/>
      <family val="2"/>
    </font>
    <font>
      <b/>
      <sz val="10"/>
      <color rgb="FF14532D"/>
      <name val="Arial"/>
      <family val="2"/>
    </font>
    <font>
      <b/>
      <sz val="11"/>
      <color rgb="FF14532D"/>
      <name val="Arial"/>
      <family val="2"/>
    </font>
    <font>
      <sz val="10"/>
      <color rgb="FF334155"/>
      <name val="Arial"/>
      <family val="2"/>
    </font>
    <font>
      <i/>
      <sz val="9"/>
      <color rgb="FF92400E"/>
      <name val="Arial"/>
      <family val="2"/>
    </font>
    <font>
      <i/>
      <sz val="10"/>
      <color rgb="FF92400E"/>
      <name val="Arial"/>
      <family val="2"/>
    </font>
    <font>
      <b/>
      <sz val="12"/>
      <color rgb="FFFFFFFF"/>
      <name val="Arial"/>
      <family val="2"/>
    </font>
    <font>
      <b/>
      <sz val="13"/>
      <color rgb="FF86EFAC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E3A5F"/>
        <bgColor rgb="FF334155"/>
      </patternFill>
    </fill>
    <fill>
      <patternFill patternType="solid">
        <fgColor rgb="FFF8FAFC"/>
        <bgColor rgb="FFFFFFFF"/>
      </patternFill>
    </fill>
    <fill>
      <patternFill patternType="solid">
        <fgColor rgb="FFF1F5F9"/>
        <bgColor rgb="FFEFF6FF"/>
      </patternFill>
    </fill>
    <fill>
      <patternFill patternType="solid">
        <fgColor rgb="FFE8F0FE"/>
        <bgColor rgb="FFEFF6FF"/>
      </patternFill>
    </fill>
    <fill>
      <patternFill patternType="solid">
        <fgColor rgb="FFFFFFFF"/>
        <bgColor rgb="FFF8FAFC"/>
      </patternFill>
    </fill>
    <fill>
      <patternFill patternType="solid">
        <fgColor rgb="FFEFF6FF"/>
        <bgColor rgb="FFF1F5F9"/>
      </patternFill>
    </fill>
    <fill>
      <patternFill patternType="solid">
        <fgColor rgb="FFF0FDF4"/>
        <bgColor rgb="FFF8FAFC"/>
      </patternFill>
    </fill>
    <fill>
      <patternFill patternType="solid">
        <fgColor rgb="FFFFFBEB"/>
        <b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right" vertical="center"/>
    </xf>
    <xf numFmtId="3" fontId="4" fillId="7" borderId="1" xfId="0" applyNumberFormat="1" applyFont="1" applyFill="1" applyBorder="1" applyAlignment="1">
      <alignment horizontal="right" vertical="center"/>
    </xf>
    <xf numFmtId="3" fontId="7" fillId="6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right" vertical="center"/>
    </xf>
    <xf numFmtId="3" fontId="9" fillId="8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3" fontId="12" fillId="9" borderId="1" xfId="0" applyNumberFormat="1" applyFont="1" applyFill="1" applyBorder="1" applyAlignment="1">
      <alignment horizontal="right" vertical="center"/>
    </xf>
    <xf numFmtId="3" fontId="14" fillId="2" borderId="1" xfId="0" applyNumberFormat="1" applyFont="1" applyFill="1" applyBorder="1" applyAlignment="1">
      <alignment horizontal="right" vertical="center"/>
    </xf>
    <xf numFmtId="0" fontId="10" fillId="3" borderId="2" xfId="0" applyFont="1" applyFill="1" applyBorder="1" applyAlignment="1">
      <alignment horizontal="left" vertical="center" indent="2"/>
    </xf>
    <xf numFmtId="0" fontId="10" fillId="6" borderId="2" xfId="0" applyFont="1" applyFill="1" applyBorder="1" applyAlignment="1">
      <alignment horizontal="left" vertical="center" indent="2"/>
    </xf>
    <xf numFmtId="0" fontId="8" fillId="8" borderId="2" xfId="0" applyFont="1" applyFill="1" applyBorder="1" applyAlignment="1">
      <alignment horizontal="right" vertical="center" indent="1"/>
    </xf>
    <xf numFmtId="0" fontId="11" fillId="9" borderId="2" xfId="0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right" vertical="center" indent="1"/>
    </xf>
    <xf numFmtId="0" fontId="3" fillId="5" borderId="2" xfId="0" applyFont="1" applyFill="1" applyBorder="1" applyAlignment="1">
      <alignment horizontal="left" vertical="center" indent="2"/>
    </xf>
    <xf numFmtId="0" fontId="2" fillId="4" borderId="2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EB"/>
      <rgbColor rgb="FFE8F0FE"/>
      <rgbColor rgb="FF660066"/>
      <rgbColor rgb="FFFF8080"/>
      <rgbColor rgb="FF1A56DB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F1F5F9"/>
      <rgbColor rgb="FFF8FAFC"/>
      <rgbColor rgb="FF86EFAC"/>
      <rgbColor rgb="FFFF99CC"/>
      <rgbColor rgb="FFCC99FF"/>
      <rgbColor rgb="FFEFF6FF"/>
      <rgbColor rgb="FF3366FF"/>
      <rgbColor rgb="FF33CCCC"/>
      <rgbColor rgb="FF99CC00"/>
      <rgbColor rgb="FFFFCC00"/>
      <rgbColor rgb="FFFF9900"/>
      <rgbColor rgb="FFFF6600"/>
      <rgbColor rgb="FF475569"/>
      <rgbColor rgb="FF94A3B8"/>
      <rgbColor rgb="FF1E3A5F"/>
      <rgbColor rgb="FF339966"/>
      <rgbColor rgb="FF14532D"/>
      <rgbColor rgb="FF333300"/>
      <rgbColor rgb="FF92400E"/>
      <rgbColor rgb="FF993366"/>
      <rgbColor rgb="FF333399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DC8DD-DE28-9C42-A9CF-077AE9F1005A}">
  <sheetPr codeName="Sheet2"/>
  <dimension ref="A1:F32"/>
  <sheetViews>
    <sheetView showGridLines="0" tabSelected="1" zoomScale="154" zoomScaleNormal="154" workbookViewId="0">
      <pane ySplit="2" topLeftCell="A3" activePane="bottomLeft" state="frozen"/>
      <selection pane="bottomLeft" activeCell="I12" sqref="I12"/>
    </sheetView>
  </sheetViews>
  <sheetFormatPr baseColWidth="10" defaultColWidth="8.6640625" defaultRowHeight="15" x14ac:dyDescent="0.2"/>
  <cols>
    <col min="1" max="1" width="30" customWidth="1"/>
    <col min="2" max="2" width="42" customWidth="1"/>
    <col min="3" max="4" width="13" customWidth="1"/>
    <col min="5" max="5" width="16" customWidth="1"/>
    <col min="6" max="6" width="18" customWidth="1"/>
  </cols>
  <sheetData>
    <row r="1" spans="1:6" ht="33.75" customHeight="1" x14ac:dyDescent="0.2">
      <c r="A1" s="23" t="s">
        <v>44</v>
      </c>
      <c r="B1" s="23"/>
      <c r="C1" s="23"/>
      <c r="D1" s="23"/>
      <c r="E1" s="23"/>
      <c r="F1" s="23"/>
    </row>
    <row r="2" spans="1:6" ht="21.75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9.5" customHeight="1" x14ac:dyDescent="0.2">
      <c r="A3" s="21" t="s">
        <v>6</v>
      </c>
      <c r="B3" s="21"/>
      <c r="C3" s="21"/>
      <c r="D3" s="21"/>
      <c r="E3" s="21"/>
      <c r="F3" s="21"/>
    </row>
    <row r="4" spans="1:6" ht="19.5" customHeight="1" x14ac:dyDescent="0.2">
      <c r="A4" s="2" t="s">
        <v>7</v>
      </c>
      <c r="B4" s="3" t="s">
        <v>45</v>
      </c>
      <c r="C4" s="4" t="s">
        <v>8</v>
      </c>
      <c r="D4" s="5">
        <v>1.5</v>
      </c>
      <c r="E4" s="6">
        <v>1084</v>
      </c>
      <c r="F4" s="7">
        <f>D4*E4</f>
        <v>1626</v>
      </c>
    </row>
    <row r="5" spans="1:6" ht="19.5" customHeight="1" x14ac:dyDescent="0.2">
      <c r="A5" s="8" t="s">
        <v>9</v>
      </c>
      <c r="B5" s="9" t="s">
        <v>52</v>
      </c>
      <c r="C5" s="10" t="s">
        <v>11</v>
      </c>
      <c r="D5" s="5">
        <v>3</v>
      </c>
      <c r="E5" s="6">
        <v>700</v>
      </c>
      <c r="F5" s="11">
        <f>D5*E5</f>
        <v>2100</v>
      </c>
    </row>
    <row r="6" spans="1:6" ht="19.5" customHeight="1" x14ac:dyDescent="0.2">
      <c r="A6" s="18" t="s">
        <v>12</v>
      </c>
      <c r="B6" s="18"/>
      <c r="C6" s="18"/>
      <c r="D6" s="18"/>
      <c r="E6" s="18"/>
      <c r="F6" s="12">
        <f>SUM(F4:F5)</f>
        <v>3726</v>
      </c>
    </row>
    <row r="8" spans="1:6" ht="19.5" customHeight="1" x14ac:dyDescent="0.2">
      <c r="A8" s="21" t="s">
        <v>35</v>
      </c>
      <c r="B8" s="21"/>
      <c r="C8" s="21"/>
      <c r="D8" s="21"/>
      <c r="E8" s="21"/>
      <c r="F8" s="21"/>
    </row>
    <row r="9" spans="1:6" ht="19.5" customHeight="1" x14ac:dyDescent="0.2">
      <c r="A9" s="2" t="s">
        <v>13</v>
      </c>
      <c r="B9" s="3" t="s">
        <v>37</v>
      </c>
      <c r="C9" s="4" t="s">
        <v>8</v>
      </c>
      <c r="D9" s="5">
        <v>0.5</v>
      </c>
      <c r="E9" s="6">
        <v>1264</v>
      </c>
      <c r="F9" s="7">
        <f>D9*E9</f>
        <v>632</v>
      </c>
    </row>
    <row r="10" spans="1:6" ht="19.5" customHeight="1" x14ac:dyDescent="0.2">
      <c r="A10" s="8" t="s">
        <v>14</v>
      </c>
      <c r="B10" s="9" t="s">
        <v>15</v>
      </c>
      <c r="C10" s="10" t="s">
        <v>11</v>
      </c>
      <c r="D10" s="5">
        <v>0.5</v>
      </c>
      <c r="E10" s="6">
        <v>1400</v>
      </c>
      <c r="F10" s="11">
        <f>D10*E10</f>
        <v>700</v>
      </c>
    </row>
    <row r="11" spans="1:6" ht="19.5" customHeight="1" x14ac:dyDescent="0.2">
      <c r="A11" s="2" t="s">
        <v>41</v>
      </c>
      <c r="B11" s="3" t="s">
        <v>16</v>
      </c>
      <c r="C11" s="4" t="s">
        <v>8</v>
      </c>
      <c r="D11" s="5">
        <v>0.5</v>
      </c>
      <c r="E11" s="6">
        <v>21975</v>
      </c>
      <c r="F11" s="7">
        <f>D11*E11</f>
        <v>10987.5</v>
      </c>
    </row>
    <row r="12" spans="1:6" ht="19.5" customHeight="1" x14ac:dyDescent="0.2">
      <c r="A12" s="18" t="s">
        <v>17</v>
      </c>
      <c r="B12" s="18"/>
      <c r="C12" s="18"/>
      <c r="D12" s="18"/>
      <c r="E12" s="18"/>
      <c r="F12" s="12">
        <f>SUM(F9:F11)</f>
        <v>12319.5</v>
      </c>
    </row>
    <row r="14" spans="1:6" ht="19.5" customHeight="1" x14ac:dyDescent="0.2">
      <c r="A14" s="21" t="s">
        <v>36</v>
      </c>
      <c r="B14" s="21"/>
      <c r="C14" s="21"/>
      <c r="D14" s="21"/>
      <c r="E14" s="21"/>
      <c r="F14" s="21"/>
    </row>
    <row r="15" spans="1:6" ht="19.5" customHeight="1" x14ac:dyDescent="0.2">
      <c r="A15" s="2" t="s">
        <v>13</v>
      </c>
      <c r="B15" s="3" t="s">
        <v>37</v>
      </c>
      <c r="C15" s="4" t="s">
        <v>8</v>
      </c>
      <c r="D15" s="5">
        <v>0.5</v>
      </c>
      <c r="E15" s="6">
        <v>1264</v>
      </c>
      <c r="F15" s="7">
        <f>D15*E15</f>
        <v>632</v>
      </c>
    </row>
    <row r="16" spans="1:6" ht="19.5" customHeight="1" x14ac:dyDescent="0.2">
      <c r="A16" s="8" t="s">
        <v>14</v>
      </c>
      <c r="B16" s="9" t="s">
        <v>15</v>
      </c>
      <c r="C16" s="10" t="s">
        <v>11</v>
      </c>
      <c r="D16" s="5">
        <v>0.5</v>
      </c>
      <c r="E16" s="6">
        <v>1400</v>
      </c>
      <c r="F16" s="11">
        <f>D16*E16</f>
        <v>700</v>
      </c>
    </row>
    <row r="17" spans="1:6" ht="19.5" customHeight="1" x14ac:dyDescent="0.2">
      <c r="A17" s="2" t="s">
        <v>40</v>
      </c>
      <c r="B17" s="3" t="s">
        <v>38</v>
      </c>
      <c r="C17" s="4" t="s">
        <v>8</v>
      </c>
      <c r="D17" s="5">
        <v>0.5</v>
      </c>
      <c r="E17" s="6">
        <v>859</v>
      </c>
      <c r="F17" s="7">
        <f>D17*E17</f>
        <v>429.5</v>
      </c>
    </row>
    <row r="18" spans="1:6" ht="19.5" customHeight="1" x14ac:dyDescent="0.2">
      <c r="A18" s="18" t="s">
        <v>18</v>
      </c>
      <c r="B18" s="18"/>
      <c r="C18" s="18"/>
      <c r="D18" s="18"/>
      <c r="E18" s="18"/>
      <c r="F18" s="12">
        <f>SUM(F15:F17)</f>
        <v>1761.5</v>
      </c>
    </row>
    <row r="20" spans="1:6" ht="19.5" customHeight="1" x14ac:dyDescent="0.2">
      <c r="A20" s="21" t="s">
        <v>39</v>
      </c>
      <c r="B20" s="21"/>
      <c r="C20" s="21"/>
      <c r="D20" s="21"/>
      <c r="E20" s="21"/>
      <c r="F20" s="21"/>
    </row>
    <row r="21" spans="1:6" ht="19.5" customHeight="1" x14ac:dyDescent="0.2">
      <c r="A21" s="2" t="s">
        <v>19</v>
      </c>
      <c r="B21" s="3" t="s">
        <v>20</v>
      </c>
      <c r="C21" s="4" t="s">
        <v>21</v>
      </c>
      <c r="D21" s="5">
        <v>1</v>
      </c>
      <c r="E21" s="6">
        <v>2300</v>
      </c>
      <c r="F21" s="7">
        <f>D21*E21</f>
        <v>2300</v>
      </c>
    </row>
    <row r="22" spans="1:6" ht="19.5" customHeight="1" x14ac:dyDescent="0.2">
      <c r="A22" s="8" t="s">
        <v>22</v>
      </c>
      <c r="B22" s="9" t="s">
        <v>23</v>
      </c>
      <c r="C22" s="10" t="s">
        <v>21</v>
      </c>
      <c r="D22" s="5">
        <v>1</v>
      </c>
      <c r="E22" s="6">
        <v>2000</v>
      </c>
      <c r="F22" s="11">
        <f>D22*E22</f>
        <v>2000</v>
      </c>
    </row>
    <row r="23" spans="1:6" ht="19.5" customHeight="1" x14ac:dyDescent="0.2">
      <c r="A23" s="18" t="s">
        <v>24</v>
      </c>
      <c r="B23" s="18"/>
      <c r="C23" s="18"/>
      <c r="D23" s="18"/>
      <c r="E23" s="18"/>
      <c r="F23" s="12">
        <f>SUM(F21:F22)</f>
        <v>4300</v>
      </c>
    </row>
    <row r="25" spans="1:6" ht="19.5" customHeight="1" x14ac:dyDescent="0.2">
      <c r="A25" s="21" t="s">
        <v>25</v>
      </c>
      <c r="B25" s="21"/>
      <c r="C25" s="21"/>
      <c r="D25" s="21"/>
      <c r="E25" s="21"/>
      <c r="F25" s="21"/>
    </row>
    <row r="26" spans="1:6" ht="19.5" customHeight="1" x14ac:dyDescent="0.2">
      <c r="A26" s="22" t="s">
        <v>26</v>
      </c>
      <c r="B26" s="22"/>
      <c r="C26" s="22"/>
      <c r="D26" s="22"/>
      <c r="E26" s="13" t="s">
        <v>27</v>
      </c>
      <c r="F26" s="13" t="s">
        <v>28</v>
      </c>
    </row>
    <row r="27" spans="1:6" ht="19.5" customHeight="1" x14ac:dyDescent="0.2">
      <c r="A27" s="17" t="s">
        <v>29</v>
      </c>
      <c r="B27" s="17"/>
      <c r="C27" s="17"/>
      <c r="D27" s="17"/>
      <c r="E27" s="7">
        <f>F6</f>
        <v>3726</v>
      </c>
      <c r="F27" s="7">
        <f>F6</f>
        <v>3726</v>
      </c>
    </row>
    <row r="28" spans="1:6" ht="19.5" customHeight="1" x14ac:dyDescent="0.2">
      <c r="A28" s="16" t="s">
        <v>30</v>
      </c>
      <c r="B28" s="16"/>
      <c r="C28" s="16"/>
      <c r="D28" s="16"/>
      <c r="E28" s="11">
        <f>F12</f>
        <v>12319.5</v>
      </c>
      <c r="F28" s="11">
        <f>F18</f>
        <v>1761.5</v>
      </c>
    </row>
    <row r="29" spans="1:6" ht="19.5" customHeight="1" x14ac:dyDescent="0.2">
      <c r="A29" s="17" t="s">
        <v>31</v>
      </c>
      <c r="B29" s="17"/>
      <c r="C29" s="17"/>
      <c r="D29" s="17"/>
      <c r="E29" s="7">
        <f>F23</f>
        <v>4300</v>
      </c>
      <c r="F29" s="7">
        <f>F23</f>
        <v>4300</v>
      </c>
    </row>
    <row r="30" spans="1:6" ht="19.5" customHeight="1" x14ac:dyDescent="0.2">
      <c r="A30" s="18" t="s">
        <v>32</v>
      </c>
      <c r="B30" s="18"/>
      <c r="C30" s="18"/>
      <c r="D30" s="18"/>
      <c r="E30" s="12">
        <f>E27+E28+E29</f>
        <v>20345.5</v>
      </c>
      <c r="F30" s="12">
        <f>F27+F28+F29</f>
        <v>9787.5</v>
      </c>
    </row>
    <row r="31" spans="1:6" ht="18" customHeight="1" x14ac:dyDescent="0.2">
      <c r="A31" s="19" t="s">
        <v>33</v>
      </c>
      <c r="B31" s="19"/>
      <c r="C31" s="19"/>
      <c r="D31" s="19"/>
      <c r="E31" s="14">
        <f>E30*0.2</f>
        <v>4069.1000000000004</v>
      </c>
      <c r="F31" s="14">
        <f>F30*0.2</f>
        <v>1957.5</v>
      </c>
    </row>
    <row r="32" spans="1:6" ht="27.75" customHeight="1" x14ac:dyDescent="0.2">
      <c r="A32" s="20" t="s">
        <v>43</v>
      </c>
      <c r="B32" s="20"/>
      <c r="C32" s="20"/>
      <c r="D32" s="20"/>
      <c r="E32" s="15">
        <f>E30+E31</f>
        <v>24414.6</v>
      </c>
      <c r="F32" s="15">
        <f>F30+F31</f>
        <v>11745</v>
      </c>
    </row>
  </sheetData>
  <mergeCells count="17">
    <mergeCell ref="A27:D27"/>
    <mergeCell ref="A1:F1"/>
    <mergeCell ref="A3:F3"/>
    <mergeCell ref="A6:E6"/>
    <mergeCell ref="A8:F8"/>
    <mergeCell ref="A12:E12"/>
    <mergeCell ref="A14:F14"/>
    <mergeCell ref="A18:E18"/>
    <mergeCell ref="A20:F20"/>
    <mergeCell ref="A23:E23"/>
    <mergeCell ref="A25:F25"/>
    <mergeCell ref="A26:D26"/>
    <mergeCell ref="A28:D28"/>
    <mergeCell ref="A29:D29"/>
    <mergeCell ref="A30:D30"/>
    <mergeCell ref="A31:D31"/>
    <mergeCell ref="A32:D3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73FFF-CB09-474C-8607-3933D51641E0}">
  <sheetPr codeName="Sheet3"/>
  <dimension ref="A1:F32"/>
  <sheetViews>
    <sheetView showGridLines="0" zoomScale="154" zoomScaleNormal="154" workbookViewId="0">
      <pane ySplit="2" topLeftCell="A3" activePane="bottomLeft" state="frozen"/>
      <selection pane="bottomLeft" activeCell="B5" sqref="B5"/>
    </sheetView>
  </sheetViews>
  <sheetFormatPr baseColWidth="10" defaultColWidth="8.6640625" defaultRowHeight="15" x14ac:dyDescent="0.2"/>
  <cols>
    <col min="1" max="1" width="30" customWidth="1"/>
    <col min="2" max="2" width="42" customWidth="1"/>
    <col min="3" max="4" width="13" customWidth="1"/>
    <col min="5" max="5" width="16" customWidth="1"/>
    <col min="6" max="6" width="18" customWidth="1"/>
  </cols>
  <sheetData>
    <row r="1" spans="1:6" ht="33.75" customHeight="1" x14ac:dyDescent="0.2">
      <c r="A1" s="23" t="s">
        <v>46</v>
      </c>
      <c r="B1" s="23"/>
      <c r="C1" s="23"/>
      <c r="D1" s="23"/>
      <c r="E1" s="23"/>
      <c r="F1" s="23"/>
    </row>
    <row r="2" spans="1:6" ht="21.75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9.5" customHeight="1" x14ac:dyDescent="0.2">
      <c r="A3" s="21" t="s">
        <v>6</v>
      </c>
      <c r="B3" s="21"/>
      <c r="C3" s="21"/>
      <c r="D3" s="21"/>
      <c r="E3" s="21"/>
      <c r="F3" s="21"/>
    </row>
    <row r="4" spans="1:6" ht="19.5" customHeight="1" x14ac:dyDescent="0.2">
      <c r="A4" s="2" t="s">
        <v>7</v>
      </c>
      <c r="B4" s="3" t="s">
        <v>47</v>
      </c>
      <c r="C4" s="4" t="s">
        <v>8</v>
      </c>
      <c r="D4" s="5">
        <v>2.5</v>
      </c>
      <c r="E4" s="6">
        <v>1084</v>
      </c>
      <c r="F4" s="7">
        <f>D4*E4</f>
        <v>2710</v>
      </c>
    </row>
    <row r="5" spans="1:6" ht="19.5" customHeight="1" x14ac:dyDescent="0.2">
      <c r="A5" s="8" t="s">
        <v>9</v>
      </c>
      <c r="B5" s="9" t="s">
        <v>48</v>
      </c>
      <c r="C5" s="10" t="s">
        <v>11</v>
      </c>
      <c r="D5" s="5">
        <v>5</v>
      </c>
      <c r="E5" s="6">
        <v>700</v>
      </c>
      <c r="F5" s="11">
        <f>D5*E5</f>
        <v>3500</v>
      </c>
    </row>
    <row r="6" spans="1:6" ht="19.5" customHeight="1" x14ac:dyDescent="0.2">
      <c r="A6" s="18" t="s">
        <v>12</v>
      </c>
      <c r="B6" s="18"/>
      <c r="C6" s="18"/>
      <c r="D6" s="18"/>
      <c r="E6" s="18"/>
      <c r="F6" s="12">
        <f>SUM(F4:F5)</f>
        <v>6210</v>
      </c>
    </row>
    <row r="8" spans="1:6" ht="19.5" customHeight="1" x14ac:dyDescent="0.2">
      <c r="A8" s="21" t="s">
        <v>35</v>
      </c>
      <c r="B8" s="21"/>
      <c r="C8" s="21"/>
      <c r="D8" s="21"/>
      <c r="E8" s="21"/>
      <c r="F8" s="21"/>
    </row>
    <row r="9" spans="1:6" ht="19.5" customHeight="1" x14ac:dyDescent="0.2">
      <c r="A9" s="2" t="s">
        <v>13</v>
      </c>
      <c r="B9" s="3" t="s">
        <v>37</v>
      </c>
      <c r="C9" s="4" t="s">
        <v>8</v>
      </c>
      <c r="D9" s="5">
        <v>0.5</v>
      </c>
      <c r="E9" s="6">
        <v>1264</v>
      </c>
      <c r="F9" s="7">
        <f>D9*E9</f>
        <v>632</v>
      </c>
    </row>
    <row r="10" spans="1:6" ht="19.5" customHeight="1" x14ac:dyDescent="0.2">
      <c r="A10" s="8" t="s">
        <v>14</v>
      </c>
      <c r="B10" s="9" t="s">
        <v>15</v>
      </c>
      <c r="C10" s="10" t="s">
        <v>11</v>
      </c>
      <c r="D10" s="5">
        <v>0.5</v>
      </c>
      <c r="E10" s="6">
        <v>1400</v>
      </c>
      <c r="F10" s="11">
        <f>D10*E10</f>
        <v>700</v>
      </c>
    </row>
    <row r="11" spans="1:6" ht="19.5" customHeight="1" x14ac:dyDescent="0.2">
      <c r="A11" s="2" t="s">
        <v>41</v>
      </c>
      <c r="B11" s="3" t="s">
        <v>16</v>
      </c>
      <c r="C11" s="4" t="s">
        <v>8</v>
      </c>
      <c r="D11" s="5">
        <v>0.5</v>
      </c>
      <c r="E11" s="6">
        <v>21975</v>
      </c>
      <c r="F11" s="7">
        <f>D11*E11</f>
        <v>10987.5</v>
      </c>
    </row>
    <row r="12" spans="1:6" ht="19.5" customHeight="1" x14ac:dyDescent="0.2">
      <c r="A12" s="18" t="s">
        <v>17</v>
      </c>
      <c r="B12" s="18"/>
      <c r="C12" s="18"/>
      <c r="D12" s="18"/>
      <c r="E12" s="18"/>
      <c r="F12" s="12">
        <f>SUM(F9:F11)</f>
        <v>12319.5</v>
      </c>
    </row>
    <row r="14" spans="1:6" ht="19.5" customHeight="1" x14ac:dyDescent="0.2">
      <c r="A14" s="21" t="s">
        <v>36</v>
      </c>
      <c r="B14" s="21"/>
      <c r="C14" s="21"/>
      <c r="D14" s="21"/>
      <c r="E14" s="21"/>
      <c r="F14" s="21"/>
    </row>
    <row r="15" spans="1:6" ht="19.5" customHeight="1" x14ac:dyDescent="0.2">
      <c r="A15" s="2" t="s">
        <v>13</v>
      </c>
      <c r="B15" s="3" t="s">
        <v>37</v>
      </c>
      <c r="C15" s="4" t="s">
        <v>8</v>
      </c>
      <c r="D15" s="5">
        <v>0.5</v>
      </c>
      <c r="E15" s="6">
        <v>1264</v>
      </c>
      <c r="F15" s="7">
        <f>D15*E15</f>
        <v>632</v>
      </c>
    </row>
    <row r="16" spans="1:6" ht="19.5" customHeight="1" x14ac:dyDescent="0.2">
      <c r="A16" s="8" t="s">
        <v>14</v>
      </c>
      <c r="B16" s="9" t="s">
        <v>15</v>
      </c>
      <c r="C16" s="10" t="s">
        <v>11</v>
      </c>
      <c r="D16" s="5">
        <v>0.5</v>
      </c>
      <c r="E16" s="6">
        <v>1400</v>
      </c>
      <c r="F16" s="11">
        <f>D16*E16</f>
        <v>700</v>
      </c>
    </row>
    <row r="17" spans="1:6" ht="19.5" customHeight="1" x14ac:dyDescent="0.2">
      <c r="A17" s="2" t="s">
        <v>40</v>
      </c>
      <c r="B17" s="3" t="s">
        <v>38</v>
      </c>
      <c r="C17" s="4" t="s">
        <v>8</v>
      </c>
      <c r="D17" s="5">
        <v>0.5</v>
      </c>
      <c r="E17" s="6">
        <v>859</v>
      </c>
      <c r="F17" s="7">
        <f>D17*E17</f>
        <v>429.5</v>
      </c>
    </row>
    <row r="18" spans="1:6" ht="19.5" customHeight="1" x14ac:dyDescent="0.2">
      <c r="A18" s="18" t="s">
        <v>18</v>
      </c>
      <c r="B18" s="18"/>
      <c r="C18" s="18"/>
      <c r="D18" s="18"/>
      <c r="E18" s="18"/>
      <c r="F18" s="12">
        <f>SUM(F15:F17)</f>
        <v>1761.5</v>
      </c>
    </row>
    <row r="20" spans="1:6" ht="19.5" customHeight="1" x14ac:dyDescent="0.2">
      <c r="A20" s="21" t="s">
        <v>39</v>
      </c>
      <c r="B20" s="21"/>
      <c r="C20" s="21"/>
      <c r="D20" s="21"/>
      <c r="E20" s="21"/>
      <c r="F20" s="21"/>
    </row>
    <row r="21" spans="1:6" ht="19.5" customHeight="1" x14ac:dyDescent="0.2">
      <c r="A21" s="2" t="s">
        <v>19</v>
      </c>
      <c r="B21" s="3" t="s">
        <v>20</v>
      </c>
      <c r="C21" s="4" t="s">
        <v>21</v>
      </c>
      <c r="D21" s="5">
        <v>1</v>
      </c>
      <c r="E21" s="6">
        <v>2300</v>
      </c>
      <c r="F21" s="7">
        <f>D21*E21</f>
        <v>2300</v>
      </c>
    </row>
    <row r="22" spans="1:6" ht="19.5" customHeight="1" x14ac:dyDescent="0.2">
      <c r="A22" s="8" t="s">
        <v>22</v>
      </c>
      <c r="B22" s="9" t="s">
        <v>23</v>
      </c>
      <c r="C22" s="10" t="s">
        <v>21</v>
      </c>
      <c r="D22" s="5">
        <v>1</v>
      </c>
      <c r="E22" s="6">
        <v>2000</v>
      </c>
      <c r="F22" s="11">
        <f>D22*E22</f>
        <v>2000</v>
      </c>
    </row>
    <row r="23" spans="1:6" ht="19.5" customHeight="1" x14ac:dyDescent="0.2">
      <c r="A23" s="18" t="s">
        <v>24</v>
      </c>
      <c r="B23" s="18"/>
      <c r="C23" s="18"/>
      <c r="D23" s="18"/>
      <c r="E23" s="18"/>
      <c r="F23" s="12">
        <f>SUM(F21:F22)</f>
        <v>4300</v>
      </c>
    </row>
    <row r="25" spans="1:6" ht="19.5" customHeight="1" x14ac:dyDescent="0.2">
      <c r="A25" s="21" t="s">
        <v>25</v>
      </c>
      <c r="B25" s="21"/>
      <c r="C25" s="21"/>
      <c r="D25" s="21"/>
      <c r="E25" s="21"/>
      <c r="F25" s="21"/>
    </row>
    <row r="26" spans="1:6" ht="19.5" customHeight="1" x14ac:dyDescent="0.2">
      <c r="A26" s="22" t="s">
        <v>26</v>
      </c>
      <c r="B26" s="22"/>
      <c r="C26" s="22"/>
      <c r="D26" s="22"/>
      <c r="E26" s="13" t="s">
        <v>27</v>
      </c>
      <c r="F26" s="13" t="s">
        <v>28</v>
      </c>
    </row>
    <row r="27" spans="1:6" ht="19.5" customHeight="1" x14ac:dyDescent="0.2">
      <c r="A27" s="17" t="s">
        <v>29</v>
      </c>
      <c r="B27" s="17"/>
      <c r="C27" s="17"/>
      <c r="D27" s="17"/>
      <c r="E27" s="7">
        <f>F6</f>
        <v>6210</v>
      </c>
      <c r="F27" s="7">
        <f>F6</f>
        <v>6210</v>
      </c>
    </row>
    <row r="28" spans="1:6" ht="19.5" customHeight="1" x14ac:dyDescent="0.2">
      <c r="A28" s="16" t="s">
        <v>30</v>
      </c>
      <c r="B28" s="16"/>
      <c r="C28" s="16"/>
      <c r="D28" s="16"/>
      <c r="E28" s="11">
        <f>F12</f>
        <v>12319.5</v>
      </c>
      <c r="F28" s="11">
        <f>F18</f>
        <v>1761.5</v>
      </c>
    </row>
    <row r="29" spans="1:6" ht="19.5" customHeight="1" x14ac:dyDescent="0.2">
      <c r="A29" s="17" t="s">
        <v>31</v>
      </c>
      <c r="B29" s="17"/>
      <c r="C29" s="17"/>
      <c r="D29" s="17"/>
      <c r="E29" s="7">
        <f>F23</f>
        <v>4300</v>
      </c>
      <c r="F29" s="7">
        <f>F23</f>
        <v>4300</v>
      </c>
    </row>
    <row r="30" spans="1:6" ht="19.5" customHeight="1" x14ac:dyDescent="0.2">
      <c r="A30" s="18" t="s">
        <v>32</v>
      </c>
      <c r="B30" s="18"/>
      <c r="C30" s="18"/>
      <c r="D30" s="18"/>
      <c r="E30" s="12">
        <f>E27+E28+E29</f>
        <v>22829.5</v>
      </c>
      <c r="F30" s="12">
        <f>F27+F28+F29</f>
        <v>12271.5</v>
      </c>
    </row>
    <row r="31" spans="1:6" ht="18" customHeight="1" x14ac:dyDescent="0.2">
      <c r="A31" s="19" t="s">
        <v>33</v>
      </c>
      <c r="B31" s="19"/>
      <c r="C31" s="19"/>
      <c r="D31" s="19"/>
      <c r="E31" s="14">
        <f>E30*0.2</f>
        <v>4565.9000000000005</v>
      </c>
      <c r="F31" s="14">
        <f>F30*0.2</f>
        <v>2454.3000000000002</v>
      </c>
    </row>
    <row r="32" spans="1:6" ht="27.75" customHeight="1" x14ac:dyDescent="0.2">
      <c r="A32" s="20" t="s">
        <v>43</v>
      </c>
      <c r="B32" s="20"/>
      <c r="C32" s="20"/>
      <c r="D32" s="20"/>
      <c r="E32" s="15">
        <f>E30+E31</f>
        <v>27395.4</v>
      </c>
      <c r="F32" s="15">
        <f>F30+F31</f>
        <v>14725.8</v>
      </c>
    </row>
  </sheetData>
  <mergeCells count="17">
    <mergeCell ref="A27:D27"/>
    <mergeCell ref="A1:F1"/>
    <mergeCell ref="A3:F3"/>
    <mergeCell ref="A6:E6"/>
    <mergeCell ref="A8:F8"/>
    <mergeCell ref="A12:E12"/>
    <mergeCell ref="A14:F14"/>
    <mergeCell ref="A18:E18"/>
    <mergeCell ref="A20:F20"/>
    <mergeCell ref="A23:E23"/>
    <mergeCell ref="A25:F25"/>
    <mergeCell ref="A26:D26"/>
    <mergeCell ref="A28:D28"/>
    <mergeCell ref="A29:D29"/>
    <mergeCell ref="A30:D30"/>
    <mergeCell ref="A31:D31"/>
    <mergeCell ref="A32:D3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2"/>
  <sheetViews>
    <sheetView showGridLines="0" zoomScale="154" zoomScaleNormal="154" workbookViewId="0">
      <pane ySplit="2" topLeftCell="A3" activePane="bottomLeft" state="frozen"/>
      <selection pane="bottomLeft" activeCell="D5" sqref="D5"/>
    </sheetView>
  </sheetViews>
  <sheetFormatPr baseColWidth="10" defaultColWidth="8.6640625" defaultRowHeight="15" x14ac:dyDescent="0.2"/>
  <cols>
    <col min="1" max="1" width="30" customWidth="1"/>
    <col min="2" max="2" width="42" customWidth="1"/>
    <col min="3" max="4" width="13" customWidth="1"/>
    <col min="5" max="5" width="16" customWidth="1"/>
    <col min="6" max="6" width="18" customWidth="1"/>
  </cols>
  <sheetData>
    <row r="1" spans="1:6" ht="33.75" customHeight="1" x14ac:dyDescent="0.2">
      <c r="A1" s="23" t="s">
        <v>42</v>
      </c>
      <c r="B1" s="23"/>
      <c r="C1" s="23"/>
      <c r="D1" s="23"/>
      <c r="E1" s="23"/>
      <c r="F1" s="23"/>
    </row>
    <row r="2" spans="1:6" ht="21.75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9.5" customHeight="1" x14ac:dyDescent="0.2">
      <c r="A3" s="21" t="s">
        <v>6</v>
      </c>
      <c r="B3" s="21"/>
      <c r="C3" s="21"/>
      <c r="D3" s="21"/>
      <c r="E3" s="21"/>
      <c r="F3" s="21"/>
    </row>
    <row r="4" spans="1:6" ht="19.5" customHeight="1" x14ac:dyDescent="0.2">
      <c r="A4" s="2" t="s">
        <v>7</v>
      </c>
      <c r="B4" s="3" t="s">
        <v>34</v>
      </c>
      <c r="C4" s="4" t="s">
        <v>8</v>
      </c>
      <c r="D4" s="5">
        <v>4</v>
      </c>
      <c r="E4" s="6">
        <v>1084</v>
      </c>
      <c r="F4" s="7">
        <f>D4*E4</f>
        <v>4336</v>
      </c>
    </row>
    <row r="5" spans="1:6" ht="19.5" customHeight="1" x14ac:dyDescent="0.2">
      <c r="A5" s="8" t="s">
        <v>9</v>
      </c>
      <c r="B5" s="9" t="s">
        <v>10</v>
      </c>
      <c r="C5" s="10" t="s">
        <v>11</v>
      </c>
      <c r="D5" s="5">
        <v>8</v>
      </c>
      <c r="E5" s="6">
        <v>700</v>
      </c>
      <c r="F5" s="11">
        <f>D5*E5</f>
        <v>5600</v>
      </c>
    </row>
    <row r="6" spans="1:6" ht="19.5" customHeight="1" x14ac:dyDescent="0.2">
      <c r="A6" s="18" t="s">
        <v>12</v>
      </c>
      <c r="B6" s="18"/>
      <c r="C6" s="18"/>
      <c r="D6" s="18"/>
      <c r="E6" s="18"/>
      <c r="F6" s="12">
        <f>SUM(F4:F5)</f>
        <v>9936</v>
      </c>
    </row>
    <row r="8" spans="1:6" ht="19.5" customHeight="1" x14ac:dyDescent="0.2">
      <c r="A8" s="21" t="s">
        <v>35</v>
      </c>
      <c r="B8" s="21"/>
      <c r="C8" s="21"/>
      <c r="D8" s="21"/>
      <c r="E8" s="21"/>
      <c r="F8" s="21"/>
    </row>
    <row r="9" spans="1:6" ht="19.5" customHeight="1" x14ac:dyDescent="0.2">
      <c r="A9" s="2" t="s">
        <v>13</v>
      </c>
      <c r="B9" s="3" t="s">
        <v>37</v>
      </c>
      <c r="C9" s="4" t="s">
        <v>8</v>
      </c>
      <c r="D9" s="5">
        <v>0.5</v>
      </c>
      <c r="E9" s="6">
        <v>1264</v>
      </c>
      <c r="F9" s="7">
        <f>D9*E9</f>
        <v>632</v>
      </c>
    </row>
    <row r="10" spans="1:6" ht="19.5" customHeight="1" x14ac:dyDescent="0.2">
      <c r="A10" s="8" t="s">
        <v>14</v>
      </c>
      <c r="B10" s="9" t="s">
        <v>15</v>
      </c>
      <c r="C10" s="10" t="s">
        <v>11</v>
      </c>
      <c r="D10" s="5">
        <v>0.5</v>
      </c>
      <c r="E10" s="6">
        <v>1400</v>
      </c>
      <c r="F10" s="11">
        <f>D10*E10</f>
        <v>700</v>
      </c>
    </row>
    <row r="11" spans="1:6" ht="19.5" customHeight="1" x14ac:dyDescent="0.2">
      <c r="A11" s="2" t="s">
        <v>41</v>
      </c>
      <c r="B11" s="3" t="s">
        <v>16</v>
      </c>
      <c r="C11" s="4" t="s">
        <v>8</v>
      </c>
      <c r="D11" s="5">
        <v>0.5</v>
      </c>
      <c r="E11" s="6">
        <v>21975</v>
      </c>
      <c r="F11" s="7">
        <f>D11*E11</f>
        <v>10987.5</v>
      </c>
    </row>
    <row r="12" spans="1:6" ht="19.5" customHeight="1" x14ac:dyDescent="0.2">
      <c r="A12" s="18" t="s">
        <v>17</v>
      </c>
      <c r="B12" s="18"/>
      <c r="C12" s="18"/>
      <c r="D12" s="18"/>
      <c r="E12" s="18"/>
      <c r="F12" s="12">
        <f>SUM(F9:F11)</f>
        <v>12319.5</v>
      </c>
    </row>
    <row r="14" spans="1:6" ht="19.5" customHeight="1" x14ac:dyDescent="0.2">
      <c r="A14" s="21" t="s">
        <v>36</v>
      </c>
      <c r="B14" s="21"/>
      <c r="C14" s="21"/>
      <c r="D14" s="21"/>
      <c r="E14" s="21"/>
      <c r="F14" s="21"/>
    </row>
    <row r="15" spans="1:6" ht="19.5" customHeight="1" x14ac:dyDescent="0.2">
      <c r="A15" s="2" t="s">
        <v>13</v>
      </c>
      <c r="B15" s="3" t="s">
        <v>37</v>
      </c>
      <c r="C15" s="4" t="s">
        <v>8</v>
      </c>
      <c r="D15" s="5">
        <v>0.5</v>
      </c>
      <c r="E15" s="6">
        <v>1264</v>
      </c>
      <c r="F15" s="7">
        <f>D15*E15</f>
        <v>632</v>
      </c>
    </row>
    <row r="16" spans="1:6" ht="19.5" customHeight="1" x14ac:dyDescent="0.2">
      <c r="A16" s="8" t="s">
        <v>14</v>
      </c>
      <c r="B16" s="9" t="s">
        <v>15</v>
      </c>
      <c r="C16" s="10" t="s">
        <v>11</v>
      </c>
      <c r="D16" s="5">
        <v>0.5</v>
      </c>
      <c r="E16" s="6">
        <v>1400</v>
      </c>
      <c r="F16" s="11">
        <f>D16*E16</f>
        <v>700</v>
      </c>
    </row>
    <row r="17" spans="1:6" ht="19.5" customHeight="1" x14ac:dyDescent="0.2">
      <c r="A17" s="2" t="s">
        <v>40</v>
      </c>
      <c r="B17" s="3" t="s">
        <v>38</v>
      </c>
      <c r="C17" s="4" t="s">
        <v>8</v>
      </c>
      <c r="D17" s="5">
        <v>0.5</v>
      </c>
      <c r="E17" s="6">
        <v>859</v>
      </c>
      <c r="F17" s="7">
        <f>D17*E17</f>
        <v>429.5</v>
      </c>
    </row>
    <row r="18" spans="1:6" ht="19.5" customHeight="1" x14ac:dyDescent="0.2">
      <c r="A18" s="18" t="s">
        <v>18</v>
      </c>
      <c r="B18" s="18"/>
      <c r="C18" s="18"/>
      <c r="D18" s="18"/>
      <c r="E18" s="18"/>
      <c r="F18" s="12">
        <f>SUM(F15:F17)</f>
        <v>1761.5</v>
      </c>
    </row>
    <row r="20" spans="1:6" ht="19.5" customHeight="1" x14ac:dyDescent="0.2">
      <c r="A20" s="21" t="s">
        <v>39</v>
      </c>
      <c r="B20" s="21"/>
      <c r="C20" s="21"/>
      <c r="D20" s="21"/>
      <c r="E20" s="21"/>
      <c r="F20" s="21"/>
    </row>
    <row r="21" spans="1:6" ht="19.5" customHeight="1" x14ac:dyDescent="0.2">
      <c r="A21" s="2" t="s">
        <v>19</v>
      </c>
      <c r="B21" s="3" t="s">
        <v>20</v>
      </c>
      <c r="C21" s="4" t="s">
        <v>21</v>
      </c>
      <c r="D21" s="5">
        <v>1</v>
      </c>
      <c r="E21" s="6">
        <v>2300</v>
      </c>
      <c r="F21" s="7">
        <f>D21*E21</f>
        <v>2300</v>
      </c>
    </row>
    <row r="22" spans="1:6" ht="19.5" customHeight="1" x14ac:dyDescent="0.2">
      <c r="A22" s="8" t="s">
        <v>22</v>
      </c>
      <c r="B22" s="9" t="s">
        <v>23</v>
      </c>
      <c r="C22" s="10" t="s">
        <v>21</v>
      </c>
      <c r="D22" s="5">
        <v>1</v>
      </c>
      <c r="E22" s="6">
        <v>2000</v>
      </c>
      <c r="F22" s="11">
        <f>D22*E22</f>
        <v>2000</v>
      </c>
    </row>
    <row r="23" spans="1:6" ht="19.5" customHeight="1" x14ac:dyDescent="0.2">
      <c r="A23" s="18" t="s">
        <v>24</v>
      </c>
      <c r="B23" s="18"/>
      <c r="C23" s="18"/>
      <c r="D23" s="18"/>
      <c r="E23" s="18"/>
      <c r="F23" s="12">
        <f>SUM(F21:F22)</f>
        <v>4300</v>
      </c>
    </row>
    <row r="25" spans="1:6" ht="19.5" customHeight="1" x14ac:dyDescent="0.2">
      <c r="A25" s="21" t="s">
        <v>25</v>
      </c>
      <c r="B25" s="21"/>
      <c r="C25" s="21"/>
      <c r="D25" s="21"/>
      <c r="E25" s="21"/>
      <c r="F25" s="21"/>
    </row>
    <row r="26" spans="1:6" ht="19.5" customHeight="1" x14ac:dyDescent="0.2">
      <c r="A26" s="22" t="s">
        <v>26</v>
      </c>
      <c r="B26" s="22"/>
      <c r="C26" s="22"/>
      <c r="D26" s="22"/>
      <c r="E26" s="13" t="s">
        <v>27</v>
      </c>
      <c r="F26" s="13" t="s">
        <v>28</v>
      </c>
    </row>
    <row r="27" spans="1:6" ht="19.5" customHeight="1" x14ac:dyDescent="0.2">
      <c r="A27" s="17" t="s">
        <v>29</v>
      </c>
      <c r="B27" s="17"/>
      <c r="C27" s="17"/>
      <c r="D27" s="17"/>
      <c r="E27" s="7">
        <f>F6</f>
        <v>9936</v>
      </c>
      <c r="F27" s="7">
        <f>F6</f>
        <v>9936</v>
      </c>
    </row>
    <row r="28" spans="1:6" ht="19.5" customHeight="1" x14ac:dyDescent="0.2">
      <c r="A28" s="16" t="s">
        <v>30</v>
      </c>
      <c r="B28" s="16"/>
      <c r="C28" s="16"/>
      <c r="D28" s="16"/>
      <c r="E28" s="11">
        <f>F12</f>
        <v>12319.5</v>
      </c>
      <c r="F28" s="11">
        <f>F18</f>
        <v>1761.5</v>
      </c>
    </row>
    <row r="29" spans="1:6" ht="19.5" customHeight="1" x14ac:dyDescent="0.2">
      <c r="A29" s="17" t="s">
        <v>31</v>
      </c>
      <c r="B29" s="17"/>
      <c r="C29" s="17"/>
      <c r="D29" s="17"/>
      <c r="E29" s="7">
        <f>F23</f>
        <v>4300</v>
      </c>
      <c r="F29" s="7">
        <f>F23</f>
        <v>4300</v>
      </c>
    </row>
    <row r="30" spans="1:6" ht="19.5" customHeight="1" x14ac:dyDescent="0.2">
      <c r="A30" s="18" t="s">
        <v>32</v>
      </c>
      <c r="B30" s="18"/>
      <c r="C30" s="18"/>
      <c r="D30" s="18"/>
      <c r="E30" s="12">
        <f>E27+E28+E29</f>
        <v>26555.5</v>
      </c>
      <c r="F30" s="12">
        <f>F27+F28+F29</f>
        <v>15997.5</v>
      </c>
    </row>
    <row r="31" spans="1:6" ht="18" customHeight="1" x14ac:dyDescent="0.2">
      <c r="A31" s="19" t="s">
        <v>33</v>
      </c>
      <c r="B31" s="19"/>
      <c r="C31" s="19"/>
      <c r="D31" s="19"/>
      <c r="E31" s="14">
        <f>E30*0.2</f>
        <v>5311.1</v>
      </c>
      <c r="F31" s="14">
        <f>F30*0.2</f>
        <v>3199.5</v>
      </c>
    </row>
    <row r="32" spans="1:6" ht="27.75" customHeight="1" x14ac:dyDescent="0.2">
      <c r="A32" s="20" t="s">
        <v>43</v>
      </c>
      <c r="B32" s="20"/>
      <c r="C32" s="20"/>
      <c r="D32" s="20"/>
      <c r="E32" s="15">
        <f>E30+E31</f>
        <v>31866.6</v>
      </c>
      <c r="F32" s="15">
        <f>F30+F31</f>
        <v>19197</v>
      </c>
    </row>
  </sheetData>
  <mergeCells count="17">
    <mergeCell ref="A1:F1"/>
    <mergeCell ref="A3:F3"/>
    <mergeCell ref="A6:E6"/>
    <mergeCell ref="A8:F8"/>
    <mergeCell ref="A12:E12"/>
    <mergeCell ref="A14:F14"/>
    <mergeCell ref="A18:E18"/>
    <mergeCell ref="A20:F20"/>
    <mergeCell ref="A23:E23"/>
    <mergeCell ref="A30:D30"/>
    <mergeCell ref="A31:D31"/>
    <mergeCell ref="A32:D32"/>
    <mergeCell ref="A25:F25"/>
    <mergeCell ref="A26:D26"/>
    <mergeCell ref="A27:D27"/>
    <mergeCell ref="A28:D28"/>
    <mergeCell ref="A29:D2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30846-9152-4A4B-99A3-A8DA33EA25D0}">
  <sheetPr codeName="Sheet4"/>
  <dimension ref="A1:F32"/>
  <sheetViews>
    <sheetView showGridLines="0" zoomScale="154" zoomScaleNormal="154" workbookViewId="0">
      <pane ySplit="2" topLeftCell="A3" activePane="bottomLeft" state="frozen"/>
      <selection pane="bottomLeft" activeCell="J8" sqref="J8"/>
    </sheetView>
  </sheetViews>
  <sheetFormatPr baseColWidth="10" defaultColWidth="8.6640625" defaultRowHeight="15" x14ac:dyDescent="0.2"/>
  <cols>
    <col min="1" max="1" width="30" customWidth="1"/>
    <col min="2" max="2" width="42" customWidth="1"/>
    <col min="3" max="4" width="13" customWidth="1"/>
    <col min="5" max="5" width="16" customWidth="1"/>
    <col min="6" max="6" width="18" customWidth="1"/>
  </cols>
  <sheetData>
    <row r="1" spans="1:6" ht="33.75" customHeight="1" x14ac:dyDescent="0.2">
      <c r="A1" s="23" t="s">
        <v>49</v>
      </c>
      <c r="B1" s="23"/>
      <c r="C1" s="23"/>
      <c r="D1" s="23"/>
      <c r="E1" s="23"/>
      <c r="F1" s="23"/>
    </row>
    <row r="2" spans="1:6" ht="21.75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9.5" customHeight="1" x14ac:dyDescent="0.2">
      <c r="A3" s="21" t="s">
        <v>6</v>
      </c>
      <c r="B3" s="21"/>
      <c r="C3" s="21"/>
      <c r="D3" s="21"/>
      <c r="E3" s="21"/>
      <c r="F3" s="21"/>
    </row>
    <row r="4" spans="1:6" ht="19.5" customHeight="1" x14ac:dyDescent="0.2">
      <c r="A4" s="2" t="s">
        <v>7</v>
      </c>
      <c r="B4" s="3" t="s">
        <v>50</v>
      </c>
      <c r="C4" s="4" t="s">
        <v>8</v>
      </c>
      <c r="D4" s="5">
        <v>5</v>
      </c>
      <c r="E4" s="6">
        <v>1084</v>
      </c>
      <c r="F4" s="7">
        <f>D4*E4</f>
        <v>5420</v>
      </c>
    </row>
    <row r="5" spans="1:6" ht="19.5" customHeight="1" x14ac:dyDescent="0.2">
      <c r="A5" s="8" t="s">
        <v>9</v>
      </c>
      <c r="B5" s="9" t="s">
        <v>51</v>
      </c>
      <c r="C5" s="10" t="s">
        <v>11</v>
      </c>
      <c r="D5" s="5">
        <v>10</v>
      </c>
      <c r="E5" s="6">
        <v>700</v>
      </c>
      <c r="F5" s="11">
        <f>D5*E5</f>
        <v>7000</v>
      </c>
    </row>
    <row r="6" spans="1:6" ht="19.5" customHeight="1" x14ac:dyDescent="0.2">
      <c r="A6" s="18" t="s">
        <v>12</v>
      </c>
      <c r="B6" s="18"/>
      <c r="C6" s="18"/>
      <c r="D6" s="18"/>
      <c r="E6" s="18"/>
      <c r="F6" s="12">
        <f>SUM(F4:F5)</f>
        <v>12420</v>
      </c>
    </row>
    <row r="8" spans="1:6" ht="19.5" customHeight="1" x14ac:dyDescent="0.2">
      <c r="A8" s="21" t="s">
        <v>35</v>
      </c>
      <c r="B8" s="21"/>
      <c r="C8" s="21"/>
      <c r="D8" s="21"/>
      <c r="E8" s="21"/>
      <c r="F8" s="21"/>
    </row>
    <row r="9" spans="1:6" ht="19.5" customHeight="1" x14ac:dyDescent="0.2">
      <c r="A9" s="2" t="s">
        <v>13</v>
      </c>
      <c r="B9" s="3" t="s">
        <v>37</v>
      </c>
      <c r="C9" s="4" t="s">
        <v>8</v>
      </c>
      <c r="D9" s="5">
        <v>0.5</v>
      </c>
      <c r="E9" s="6">
        <v>1264</v>
      </c>
      <c r="F9" s="7">
        <f>D9*E9</f>
        <v>632</v>
      </c>
    </row>
    <row r="10" spans="1:6" ht="19.5" customHeight="1" x14ac:dyDescent="0.2">
      <c r="A10" s="8" t="s">
        <v>14</v>
      </c>
      <c r="B10" s="9" t="s">
        <v>15</v>
      </c>
      <c r="C10" s="10" t="s">
        <v>11</v>
      </c>
      <c r="D10" s="5">
        <v>0.5</v>
      </c>
      <c r="E10" s="6">
        <v>1400</v>
      </c>
      <c r="F10" s="11">
        <f>D10*E10</f>
        <v>700</v>
      </c>
    </row>
    <row r="11" spans="1:6" ht="19.5" customHeight="1" x14ac:dyDescent="0.2">
      <c r="A11" s="2" t="s">
        <v>41</v>
      </c>
      <c r="B11" s="3" t="s">
        <v>16</v>
      </c>
      <c r="C11" s="4" t="s">
        <v>8</v>
      </c>
      <c r="D11" s="5">
        <v>0.5</v>
      </c>
      <c r="E11" s="6">
        <v>21975</v>
      </c>
      <c r="F11" s="7">
        <f>D11*E11</f>
        <v>10987.5</v>
      </c>
    </row>
    <row r="12" spans="1:6" ht="19.5" customHeight="1" x14ac:dyDescent="0.2">
      <c r="A12" s="18" t="s">
        <v>17</v>
      </c>
      <c r="B12" s="18"/>
      <c r="C12" s="18"/>
      <c r="D12" s="18"/>
      <c r="E12" s="18"/>
      <c r="F12" s="12">
        <f>SUM(F9:F11)</f>
        <v>12319.5</v>
      </c>
    </row>
    <row r="14" spans="1:6" ht="19.5" customHeight="1" x14ac:dyDescent="0.2">
      <c r="A14" s="21" t="s">
        <v>36</v>
      </c>
      <c r="B14" s="21"/>
      <c r="C14" s="21"/>
      <c r="D14" s="21"/>
      <c r="E14" s="21"/>
      <c r="F14" s="21"/>
    </row>
    <row r="15" spans="1:6" ht="19.5" customHeight="1" x14ac:dyDescent="0.2">
      <c r="A15" s="2" t="s">
        <v>13</v>
      </c>
      <c r="B15" s="3" t="s">
        <v>37</v>
      </c>
      <c r="C15" s="4" t="s">
        <v>8</v>
      </c>
      <c r="D15" s="5">
        <v>0.5</v>
      </c>
      <c r="E15" s="6">
        <v>1264</v>
      </c>
      <c r="F15" s="7">
        <f>D15*E15</f>
        <v>632</v>
      </c>
    </row>
    <row r="16" spans="1:6" ht="19.5" customHeight="1" x14ac:dyDescent="0.2">
      <c r="A16" s="8" t="s">
        <v>14</v>
      </c>
      <c r="B16" s="9" t="s">
        <v>15</v>
      </c>
      <c r="C16" s="10" t="s">
        <v>11</v>
      </c>
      <c r="D16" s="5">
        <v>0.5</v>
      </c>
      <c r="E16" s="6">
        <v>1400</v>
      </c>
      <c r="F16" s="11">
        <f>D16*E16</f>
        <v>700</v>
      </c>
    </row>
    <row r="17" spans="1:6" ht="19.5" customHeight="1" x14ac:dyDescent="0.2">
      <c r="A17" s="2" t="s">
        <v>40</v>
      </c>
      <c r="B17" s="3" t="s">
        <v>38</v>
      </c>
      <c r="C17" s="4" t="s">
        <v>8</v>
      </c>
      <c r="D17" s="5">
        <v>0.5</v>
      </c>
      <c r="E17" s="6">
        <v>859</v>
      </c>
      <c r="F17" s="7">
        <f>D17*E17</f>
        <v>429.5</v>
      </c>
    </row>
    <row r="18" spans="1:6" ht="19.5" customHeight="1" x14ac:dyDescent="0.2">
      <c r="A18" s="18" t="s">
        <v>18</v>
      </c>
      <c r="B18" s="18"/>
      <c r="C18" s="18"/>
      <c r="D18" s="18"/>
      <c r="E18" s="18"/>
      <c r="F18" s="12">
        <f>SUM(F15:F17)</f>
        <v>1761.5</v>
      </c>
    </row>
    <row r="20" spans="1:6" ht="19.5" customHeight="1" x14ac:dyDescent="0.2">
      <c r="A20" s="21" t="s">
        <v>39</v>
      </c>
      <c r="B20" s="21"/>
      <c r="C20" s="21"/>
      <c r="D20" s="21"/>
      <c r="E20" s="21"/>
      <c r="F20" s="21"/>
    </row>
    <row r="21" spans="1:6" ht="19.5" customHeight="1" x14ac:dyDescent="0.2">
      <c r="A21" s="2" t="s">
        <v>19</v>
      </c>
      <c r="B21" s="3" t="s">
        <v>20</v>
      </c>
      <c r="C21" s="4" t="s">
        <v>21</v>
      </c>
      <c r="D21" s="5">
        <v>1</v>
      </c>
      <c r="E21" s="6">
        <v>2300</v>
      </c>
      <c r="F21" s="7">
        <f>D21*E21</f>
        <v>2300</v>
      </c>
    </row>
    <row r="22" spans="1:6" ht="19.5" customHeight="1" x14ac:dyDescent="0.2">
      <c r="A22" s="8" t="s">
        <v>22</v>
      </c>
      <c r="B22" s="9" t="s">
        <v>23</v>
      </c>
      <c r="C22" s="10" t="s">
        <v>21</v>
      </c>
      <c r="D22" s="5">
        <v>1</v>
      </c>
      <c r="E22" s="6">
        <v>2000</v>
      </c>
      <c r="F22" s="11">
        <f>D22*E22</f>
        <v>2000</v>
      </c>
    </row>
    <row r="23" spans="1:6" ht="19.5" customHeight="1" x14ac:dyDescent="0.2">
      <c r="A23" s="18" t="s">
        <v>24</v>
      </c>
      <c r="B23" s="18"/>
      <c r="C23" s="18"/>
      <c r="D23" s="18"/>
      <c r="E23" s="18"/>
      <c r="F23" s="12">
        <f>SUM(F21:F22)</f>
        <v>4300</v>
      </c>
    </row>
    <row r="25" spans="1:6" ht="19.5" customHeight="1" x14ac:dyDescent="0.2">
      <c r="A25" s="21" t="s">
        <v>25</v>
      </c>
      <c r="B25" s="21"/>
      <c r="C25" s="21"/>
      <c r="D25" s="21"/>
      <c r="E25" s="21"/>
      <c r="F25" s="21"/>
    </row>
    <row r="26" spans="1:6" ht="19.5" customHeight="1" x14ac:dyDescent="0.2">
      <c r="A26" s="22" t="s">
        <v>26</v>
      </c>
      <c r="B26" s="22"/>
      <c r="C26" s="22"/>
      <c r="D26" s="22"/>
      <c r="E26" s="13" t="s">
        <v>27</v>
      </c>
      <c r="F26" s="13" t="s">
        <v>28</v>
      </c>
    </row>
    <row r="27" spans="1:6" ht="19.5" customHeight="1" x14ac:dyDescent="0.2">
      <c r="A27" s="17" t="s">
        <v>29</v>
      </c>
      <c r="B27" s="17"/>
      <c r="C27" s="17"/>
      <c r="D27" s="17"/>
      <c r="E27" s="7">
        <f>F6</f>
        <v>12420</v>
      </c>
      <c r="F27" s="7">
        <f>F6</f>
        <v>12420</v>
      </c>
    </row>
    <row r="28" spans="1:6" ht="19.5" customHeight="1" x14ac:dyDescent="0.2">
      <c r="A28" s="16" t="s">
        <v>30</v>
      </c>
      <c r="B28" s="16"/>
      <c r="C28" s="16"/>
      <c r="D28" s="16"/>
      <c r="E28" s="11">
        <f>F12</f>
        <v>12319.5</v>
      </c>
      <c r="F28" s="11">
        <f>F18</f>
        <v>1761.5</v>
      </c>
    </row>
    <row r="29" spans="1:6" ht="19.5" customHeight="1" x14ac:dyDescent="0.2">
      <c r="A29" s="17" t="s">
        <v>31</v>
      </c>
      <c r="B29" s="17"/>
      <c r="C29" s="17"/>
      <c r="D29" s="17"/>
      <c r="E29" s="7">
        <f>F23</f>
        <v>4300</v>
      </c>
      <c r="F29" s="7">
        <f>F23</f>
        <v>4300</v>
      </c>
    </row>
    <row r="30" spans="1:6" ht="19.5" customHeight="1" x14ac:dyDescent="0.2">
      <c r="A30" s="18" t="s">
        <v>32</v>
      </c>
      <c r="B30" s="18"/>
      <c r="C30" s="18"/>
      <c r="D30" s="18"/>
      <c r="E30" s="12">
        <f>E27+E28+E29</f>
        <v>29039.5</v>
      </c>
      <c r="F30" s="12">
        <f>F27+F28+F29</f>
        <v>18481.5</v>
      </c>
    </row>
    <row r="31" spans="1:6" ht="18" customHeight="1" x14ac:dyDescent="0.2">
      <c r="A31" s="19" t="s">
        <v>33</v>
      </c>
      <c r="B31" s="19"/>
      <c r="C31" s="19"/>
      <c r="D31" s="19"/>
      <c r="E31" s="14">
        <f>E30*0.2</f>
        <v>5807.9000000000005</v>
      </c>
      <c r="F31" s="14">
        <f>F30*0.2</f>
        <v>3696.3</v>
      </c>
    </row>
    <row r="32" spans="1:6" ht="27.75" customHeight="1" x14ac:dyDescent="0.2">
      <c r="A32" s="20" t="s">
        <v>43</v>
      </c>
      <c r="B32" s="20"/>
      <c r="C32" s="20"/>
      <c r="D32" s="20"/>
      <c r="E32" s="15">
        <f>E30+E31</f>
        <v>34847.4</v>
      </c>
      <c r="F32" s="15">
        <f>F30+F31</f>
        <v>22177.8</v>
      </c>
    </row>
  </sheetData>
  <mergeCells count="17">
    <mergeCell ref="A27:D27"/>
    <mergeCell ref="A1:F1"/>
    <mergeCell ref="A3:F3"/>
    <mergeCell ref="A6:E6"/>
    <mergeCell ref="A8:F8"/>
    <mergeCell ref="A12:E12"/>
    <mergeCell ref="A14:F14"/>
    <mergeCell ref="A18:E18"/>
    <mergeCell ref="A20:F20"/>
    <mergeCell ref="A23:E23"/>
    <mergeCell ref="A25:F25"/>
    <mergeCell ref="A26:D26"/>
    <mergeCell ref="A28:D28"/>
    <mergeCell ref="A29:D29"/>
    <mergeCell ref="A30:D30"/>
    <mergeCell ref="A31:D31"/>
    <mergeCell ref="A32:D3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Gift Card Book (5)</vt:lpstr>
      <vt:lpstr>Gift Card Book (10)</vt:lpstr>
      <vt:lpstr>Gift Card Book (15)</vt:lpstr>
      <vt:lpstr>Gift Card Book (20)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2026-10-20T02:20:11Z</dcterms:created>
  <dcterms:modified xsi:type="dcterms:W3CDTF">2026-10-20T04:23:16Z</dcterms:modified>
  <dc:language>en-US</dc:language>
</cp:coreProperties>
</file>